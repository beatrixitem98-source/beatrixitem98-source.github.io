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d8e0ca247942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Supplier Feed" sheetId="1" r:id="Rcfb9ed363f2b4e81"/>
    <x:sheet xmlns:r="http://schemas.openxmlformats.org/officeDocument/2006/relationships" name="Staging &amp; Mapping" sheetId="2" r:id="R9e277a1596d64761"/>
    <x:sheet xmlns:r="http://schemas.openxmlformats.org/officeDocument/2006/relationships" name="Exception Log" sheetId="3" r:id="R691c35895fd84613"/>
    <x:sheet xmlns:r="http://schemas.openxmlformats.org/officeDocument/2006/relationships" name="Matrixify Ready" sheetId="4" r:id="R5896e77cf7a84c05"/>
    <x:sheet xmlns:r="http://schemas.openxmlformats.org/officeDocument/2006/relationships" name="Update Validation" sheetId="5" r:id="R0211216d5e914b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i/>
      <x:sz val="11"/>
      <x:color rgb="FF5C716B"/>
      <x:name val="Carlito"/>
    </x:font>
    <x:font>
      <x:b/>
      <x:sz val="11"/>
      <x:color rgb="FF203B37"/>
      <x:name val="Carlito"/>
    </x:font>
    <x:font>
      <x:b/>
      <x:sz val="11"/>
      <x:color rgb="FF1F6A43"/>
      <x:name val="Carlito"/>
    </x:font>
    <x:font>
      <x:b/>
      <x:sz val="11"/>
      <x:color rgb="FF8A5A00"/>
      <x:name val="Carlito"/>
    </x:font>
    <x:font>
      <x:b/>
      <x:sz val="11"/>
      <x:color rgb="FF24734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03B37"/>
      </x:patternFill>
    </x:fill>
    <x:fill>
      <x:patternFill patternType="solid">
        <x:fgColor rgb="FFEDF3F1"/>
      </x:patternFill>
    </x:fill>
    <x:fill>
      <x:patternFill patternType="solid">
        <x:fgColor rgb="FF5C716B"/>
      </x:patternFill>
    </x:fill>
    <x:fill>
      <x:patternFill patternType="solid">
        <x:fgColor rgb="FFE7F3EA"/>
      </x:patternFill>
    </x:fill>
    <x:fill>
      <x:patternFill patternType="solid">
        <x:fgColor rgb="FFFFF2CC"/>
      </x:patternFill>
    </x:fill>
    <x:fill>
      <x:patternFill patternType="solid">
        <x:fgColor rgb="FFE3F0E6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7" fillId="7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b/>
        <x:color rgb="FF1F6A43"/>
      </x:font>
      <x:fill>
        <x:patternFill>
          <x:bgColor rgb="FFE7F3EA"/>
        </x:patternFill>
      </x:fill>
    </x:dxf>
    <x:dxf>
      <x:font>
        <x:b/>
        <x:color rgb="FF8A5A00"/>
      </x:font>
      <x:fill>
        <x:patternFill>
          <x:bgColor rgb="FFFFF2CC"/>
        </x:patternFill>
      </x:fill>
    </x:dxf>
    <x:dxf>
      <x:font>
        <x:b/>
        <x:color rgb="FF1F6A43"/>
      </x:font>
      <x:fill>
        <x:patternFill>
          <x:bgColor rgb="FFE7F3EA"/>
        </x:patternFill>
      </x:fill>
    </x:dxf>
    <x:dxf>
      <x:font>
        <x:b/>
        <x:color rgb="FFA93226"/>
      </x:font>
      <x:fill>
        <x:patternFill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2a0ef9fe8d4367" /><Relationship Type="http://schemas.openxmlformats.org/officeDocument/2006/relationships/theme" Target="/xl/theme/theme1.xml" Id="R2ec4d8c09bf34962" /><Relationship Type="http://schemas.openxmlformats.org/officeDocument/2006/relationships/sharedStrings" Target="/xl/sharedStrings.xml" Id="R79389d946f494d61" /><Relationship Type="http://schemas.openxmlformats.org/officeDocument/2006/relationships/worksheet" Target="/xl/worksheets/sheet1.xml" Id="Rcfb9ed363f2b4e81" /><Relationship Type="http://schemas.openxmlformats.org/officeDocument/2006/relationships/worksheet" Target="/xl/worksheets/sheet2.xml" Id="R9e277a1596d64761" /><Relationship Type="http://schemas.openxmlformats.org/officeDocument/2006/relationships/worksheet" Target="/xl/worksheets/sheet3.xml" Id="R691c35895fd84613" /><Relationship Type="http://schemas.openxmlformats.org/officeDocument/2006/relationships/worksheet" Target="/xl/worksheets/sheet4.xml" Id="R5896e77cf7a84c05" /><Relationship Type="http://schemas.openxmlformats.org/officeDocument/2006/relationships/worksheet" Target="/xl/worksheets/sheet5.xml" Id="R0211216d5e914bff" /></Relationships>
</file>

<file path=xl/tables/table1.xml><?xml version="1.0" encoding="utf-8"?>
<x:table xmlns:x="http://schemas.openxmlformats.org/spreadsheetml/2006/main" id="1" name="NorthstarRawFeed" displayName="NorthstarRawFeed" ref="A1:L19" headerRowCount="1" totalsRowCount="0" totalsRowShown="0">
  <x:tableColumns count="12">
    <x:tableColumn id="1" name="Supplier Product ID"/>
    <x:tableColumn id="2" name="Product Name"/>
    <x:tableColumn id="3" name="Color"/>
    <x:tableColumn id="4" name="Size"/>
    <x:tableColumn id="5" name="Supplier SKU"/>
    <x:tableColumn id="6" name="Price"/>
    <x:tableColumn id="7" name="Stock"/>
    <x:tableColumn id="8" name="Weight"/>
    <x:tableColumn id="9" name="Weight Unit"/>
    <x:tableColumn id="10" name="Barcode"/>
    <x:tableColumn id="11" name="Category"/>
    <x:tableColumn id="12" name="Imag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orthstarStaging" displayName="NorthstarStaging" ref="A1:W19" headerRowCount="1" totalsRowCount="0" totalsRowShown="0">
  <x:tableColumns count="23">
    <x:tableColumn id="1" name="Source Row"/>
    <x:tableColumn id="2" name="Handle"/>
    <x:tableColumn id="3" name="Title"/>
    <x:tableColumn id="4" name="Option1 Name"/>
    <x:tableColumn id="5" name="Option1 Value"/>
    <x:tableColumn id="6" name="Option2 Name"/>
    <x:tableColumn id="7" name="Option2 Value"/>
    <x:tableColumn id="8" name="Variant SKU"/>
    <x:tableColumn id="9" name="Variant Price"/>
    <x:tableColumn id="10" name="Inventory Qty"/>
    <x:tableColumn id="11" name="Variant Grams"/>
    <x:tableColumn id="12" name="Barcode"/>
    <x:tableColumn id="13" name="Product Type"/>
    <x:tableColumn id="14" name="Image Src"/>
    <x:tableColumn id="15" name="Command"/>
    <x:tableColumn id="16" name="SKU Check"/>
    <x:tableColumn id="17" name="Price Check"/>
    <x:tableColumn id="18" name="Inventory Check"/>
    <x:tableColumn id="19" name="Weight Check"/>
    <x:tableColumn id="20" name="Image Check"/>
    <x:tableColumn id="21" name="Type Check"/>
    <x:tableColumn id="22" name="Overall Gate"/>
    <x:tableColumn id="23" name="Validation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orthstarExceptions" displayName="NorthstarExceptions" ref="A1:G7" headerRowCount="1" totalsRowCount="0" totalsRowShown="0">
  <x:tableColumns count="7">
    <x:tableColumn id="1" name="Exception ID"/>
    <x:tableColumn id="2" name="Source Row(s)"/>
    <x:tableColumn id="3" name="Issue Type"/>
    <x:tableColumn id="4" name="Observed Issue"/>
    <x:tableColumn id="5" name="Impact if Imported"/>
    <x:tableColumn id="6" name="Required Action"/>
    <x:tableColumn id="7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orthstarReady" displayName="NorthstarReady" ref="A1:N12" headerRowCount="1" totalsRowCount="0" totalsRowShown="0">
  <x:tableColumns count="14">
    <x:tableColumn id="1" name="Command"/>
    <x:tableColumn id="2" name="Handle"/>
    <x:tableColumn id="3" name="Title"/>
    <x:tableColumn id="4" name="Option1 Name"/>
    <x:tableColumn id="5" name="Option1 Value"/>
    <x:tableColumn id="6" name="Option2 Name"/>
    <x:tableColumn id="7" name="Option2 Value"/>
    <x:tableColumn id="8" name="Variant SKU"/>
    <x:tableColumn id="9" name="Variant Price"/>
    <x:tableColumn id="10" name="Variant Inventory Qty"/>
    <x:tableColumn id="11" name="Variant Grams"/>
    <x:tableColumn id="12" name="Variant Barcode"/>
    <x:tableColumn id="13" name="Product Type"/>
    <x:tableColumn id="14" name="Image Sr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c44f5ea0084e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74485fbd64b4a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d3baed80e0d41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e59d6e2ce4441ad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14" hidden="0" customWidth="1"/>
    <x:col min="4" max="4" width="12" hidden="0" customWidth="1"/>
    <x:col min="5" max="5" width="18" hidden="0" customWidth="1"/>
    <x:col min="6" max="6" width="12" hidden="0" customWidth="1"/>
    <x:col min="7" max="7" width="10" hidden="0" customWidth="1"/>
    <x:col min="8" max="8" width="10" hidden="0" customWidth="1"/>
    <x:col min="9" max="9" width="12" hidden="0" customWidth="1"/>
    <x:col min="10" max="10" width="16" hidden="0" customWidth="1"/>
    <x:col min="11" max="11" width="18" hidden="0" customWidth="1"/>
    <x:col min="12" max="12" width="42" hidden="0" customWidth="1"/>
  </x:cols>
  <x:sheetData>
    <x:row r="1">
      <x:c r="A1" s="5" t="str">
        <x:v>Supplier Product ID</x:v>
      </x:c>
      <x:c r="B1" s="5" t="str">
        <x:v>Product Name</x:v>
      </x:c>
      <x:c r="C1" s="5" t="str">
        <x:v>Color</x:v>
      </x:c>
      <x:c r="D1" s="5" t="str">
        <x:v>Size</x:v>
      </x:c>
      <x:c r="E1" s="5" t="str">
        <x:v>Supplier SKU</x:v>
      </x:c>
      <x:c r="F1" s="5" t="str">
        <x:v>Price</x:v>
      </x:c>
      <x:c r="G1" s="5" t="str">
        <x:v>Stock</x:v>
      </x:c>
      <x:c r="H1" s="5" t="str">
        <x:v>Weight</x:v>
      </x:c>
      <x:c r="I1" s="5" t="str">
        <x:v>Weight Unit</x:v>
      </x:c>
      <x:c r="J1" s="5" t="str">
        <x:v>Barcode</x:v>
      </x:c>
      <x:c r="K1" s="5" t="str">
        <x:v>Category</x:v>
      </x:c>
      <x:c r="L1" s="5" t="str">
        <x:v>Image URL</x:v>
      </x:c>
    </x:row>
    <x:row r="2" ht="30" customHeight="1">
      <x:c r="A2" s="10" t="str">
        <x:v>P1001</x:v>
      </x:c>
      <x:c r="B2" s="10" t="str">
        <x:v>Modular Desk Organizer</x:v>
      </x:c>
      <x:c r="C2" s="10" t="str">
        <x:v>Black</x:v>
      </x:c>
      <x:c r="D2" s="10" t="str">
        <x:v>Standard</x:v>
      </x:c>
      <x:c r="E2" s="10" t="str">
        <x:v>NS-ORG-BLK-STD</x:v>
      </x:c>
      <x:c r="F2" s="10" t="str">
        <x:v>$29.50</x:v>
      </x:c>
      <x:c r="G2" s="10" t="str">
        <x:v>42</x:v>
      </x:c>
      <x:c r="H2" s="10" t="str">
        <x:v>820</x:v>
      </x:c>
      <x:c r="I2" s="10" t="str">
        <x:v>g</x:v>
      </x:c>
      <x:c r="J2" s="10" t="str">
        <x:v>9123456789012</x:v>
      </x:c>
      <x:c r="K2" s="10" t="str">
        <x:v>Desk Accessories</x:v>
      </x:c>
      <x:c r="L2" s="10" t="str">
        <x:v>https://northstar.example/images/organizer-black.jpg</x:v>
      </x:c>
    </x:row>
    <x:row r="3" ht="30" customHeight="1">
      <x:c r="A3" s="10" t="str">
        <x:v>P1001</x:v>
      </x:c>
      <x:c r="B3" s="10" t="str">
        <x:v> Modular Desk Organizer </x:v>
      </x:c>
      <x:c r="C3" s="10" t="str">
        <x:v>white</x:v>
      </x:c>
      <x:c r="D3" s="10" t="str">
        <x:v>Standard</x:v>
      </x:c>
      <x:c r="E3" s="10" t="str">
        <x:v>NS-ORG-WHT-STD</x:v>
      </x:c>
      <x:c r="F3" s="10" t="str">
        <x:v>29.50 USD</x:v>
      </x:c>
      <x:c r="G3" s="10" t="str">
        <x:v>38</x:v>
      </x:c>
      <x:c r="H3" s="10" t="str">
        <x:v>0.82</x:v>
      </x:c>
      <x:c r="I3" s="10" t="str">
        <x:v>kg</x:v>
      </x:c>
      <x:c r="J3" s="10" t="str">
        <x:v>9123456789013</x:v>
      </x:c>
      <x:c r="K3" s="10" t="str">
        <x:v>desk accessories</x:v>
      </x:c>
      <x:c r="L3" s="10" t="str">
        <x:v>https://northstar.example/images/organizer-white.jpg</x:v>
      </x:c>
    </x:row>
    <x:row r="4" ht="30" customHeight="1">
      <x:c r="A4" s="10" t="str">
        <x:v>P1002</x:v>
      </x:c>
      <x:c r="B4" s="10" t="str">
        <x:v>Canvas Utility Tote</x:v>
      </x:c>
      <x:c r="C4" s="10" t="str">
        <x:v>Navy</x:v>
      </x:c>
      <x:c r="D4" s="10" t="str">
        <x:v>Medium</x:v>
      </x:c>
      <x:c r="E4" s="10" t="str">
        <x:v>NS-TOTE-NVY-M</x:v>
      </x:c>
      <x:c r="F4" s="10" t="str">
        <x:v>36.00</x:v>
      </x:c>
      <x:c r="G4" s="10" t="str">
        <x:v>31</x:v>
      </x:c>
      <x:c r="H4" s="10" t="str">
        <x:v>640</x:v>
      </x:c>
      <x:c r="I4" s="10" t="str">
        <x:v>g</x:v>
      </x:c>
      <x:c r="J4" s="10" t="str">
        <x:v>9123456789014</x:v>
      </x:c>
      <x:c r="K4" s="10" t="str">
        <x:v>Storage &amp; Carry</x:v>
      </x:c>
      <x:c r="L4" s="10" t="str">
        <x:v>https://northstar.example/images/tote-navy-medium.jpg</x:v>
      </x:c>
    </x:row>
    <x:row r="5" ht="30" customHeight="1">
      <x:c r="A5" s="10" t="str">
        <x:v>P1002</x:v>
      </x:c>
      <x:c r="B5" s="10" t="str">
        <x:v>Canvas Utility Tote</x:v>
      </x:c>
      <x:c r="C5" s="10" t="str">
        <x:v>Navy</x:v>
      </x:c>
      <x:c r="D5" s="10" t="str">
        <x:v>Large</x:v>
      </x:c>
      <x:c r="E5" s="10" t="str">
        <x:v>NS-TOTE-NVY-L</x:v>
      </x:c>
      <x:c r="F5" s="10" t="str">
        <x:v>42.00</x:v>
      </x:c>
      <x:c r="G5" s="10" t="str">
        <x:v>26</x:v>
      </x:c>
      <x:c r="H5" s="10" t="str">
        <x:v>720</x:v>
      </x:c>
      <x:c r="I5" s="10" t="str">
        <x:v>g</x:v>
      </x:c>
      <x:c r="J5" s="10" t="str">
        <x:v>9123456789015</x:v>
      </x:c>
      <x:c r="K5" s="10" t="str">
        <x:v>Storage &amp; Carry</x:v>
      </x:c>
      <x:c r="L5" s="10" t="str">
        <x:v>https://northstar.example/images/tote-navy-large.jpg</x:v>
      </x:c>
    </x:row>
    <x:row r="6" ht="30" customHeight="1">
      <x:c r="A6" s="10" t="str">
        <x:v>P1002</x:v>
      </x:c>
      <x:c r="B6" s="10" t="str">
        <x:v>Canvas Utility Tote</x:v>
      </x:c>
      <x:c r="C6" s="10" t="str">
        <x:v>Sand</x:v>
      </x:c>
      <x:c r="D6" s="10" t="str">
        <x:v>Medium</x:v>
      </x:c>
      <x:c r="E6" s="10" t="str">
        <x:v>NS-TOTE-SND-M</x:v>
      </x:c>
      <x:c r="F6" s="10" t="str">
        <x:v>36</x:v>
      </x:c>
      <x:c r="G6" s="10" t="str">
        <x:v>29</x:v>
      </x:c>
      <x:c r="H6" s="10" t="str">
        <x:v>0.64</x:v>
      </x:c>
      <x:c r="I6" s="10" t="str">
        <x:v>kg</x:v>
      </x:c>
      <x:c r="J6" s="10" t="str">
        <x:v>9123456789016</x:v>
      </x:c>
      <x:c r="K6" s="10" t="str">
        <x:v>Storage &amp; Carry</x:v>
      </x:c>
      <x:c r="L6" s="10" t="str">
        <x:v>https://northstar.example/images/tote-sand-medium.jpg</x:v>
      </x:c>
    </x:row>
    <x:row r="7" ht="30" customHeight="1">
      <x:c r="A7" s="10" t="str">
        <x:v>P1002</x:v>
      </x:c>
      <x:c r="B7" s="10" t="str">
        <x:v>Canvas Utility Tote</x:v>
      </x:c>
      <x:c r="C7" s="10" t="str">
        <x:v>Sand</x:v>
      </x:c>
      <x:c r="D7" s="10" t="str">
        <x:v>Large</x:v>
      </x:c>
      <x:c r="E7" s="10" t="str">
        <x:v>NS-TOTE-SND-L</x:v>
      </x:c>
      <x:c r="F7" s="10" t="str">
        <x:v>42.00</x:v>
      </x:c>
      <x:c r="G7" s="10" t="str">
        <x:v>25</x:v>
      </x:c>
      <x:c r="H7" s="10" t="str">
        <x:v>0.72</x:v>
      </x:c>
      <x:c r="I7" s="10" t="str">
        <x:v>kg</x:v>
      </x:c>
      <x:c r="J7" s="10" t="str">
        <x:v>9123456789017</x:v>
      </x:c>
      <x:c r="K7" s="10" t="str">
        <x:v>Storage &amp; Carry</x:v>
      </x:c>
      <x:c r="L7" s="10" t="str">
        <x:v>https://northstar.example/images/tote-sand-large.jpg</x:v>
      </x:c>
    </x:row>
    <x:row r="8" ht="30" customHeight="1">
      <x:c r="A8" s="10" t="str">
        <x:v>P1003</x:v>
      </x:c>
      <x:c r="B8" s="10" t="str">
        <x:v>Stainless Water Bottle</x:v>
      </x:c>
      <x:c r="C8" s="10" t="str">
        <x:v>Charcoal</x:v>
      </x:c>
      <x:c r="D8" s="10" t="str">
        <x:v>600ml</x:v>
      </x:c>
      <x:c r="E8" s="10" t="str">
        <x:v>NS-WB-600-CHR</x:v>
      </x:c>
      <x:c r="F8" s="10" t="str">
        <x:v>24.95</x:v>
      </x:c>
      <x:c r="G8" s="10" t="str">
        <x:v>54</x:v>
      </x:c>
      <x:c r="H8" s="10" t="str">
        <x:v>410</x:v>
      </x:c>
      <x:c r="I8" s="10" t="str">
        <x:v>g</x:v>
      </x:c>
      <x:c r="J8" s="10" t="str">
        <x:v>9123456789018</x:v>
      </x:c>
      <x:c r="K8" s="10" t="str">
        <x:v>Drinkware</x:v>
      </x:c>
      <x:c r="L8" s="10" t="str">
        <x:v>https://northstar.example/images/bottle-charcoal.jpg</x:v>
      </x:c>
    </x:row>
    <x:row r="9" ht="30" customHeight="1">
      <x:c r="A9" s="10" t="str">
        <x:v>P1003</x:v>
      </x:c>
      <x:c r="B9" s="10" t="str">
        <x:v>Stainless Water Bottle</x:v>
      </x:c>
      <x:c r="C9" s="10" t="str">
        <x:v>Sage</x:v>
      </x:c>
      <x:c r="D9" s="10" t="str">
        <x:v>600ml</x:v>
      </x:c>
      <x:c r="E9" s="10" t="str">
        <x:v>NS-WB-600-SG</x:v>
      </x:c>
      <x:c r="F9" s="10" t="str">
        <x:v>TBD</x:v>
      </x:c>
      <x:c r="G9" s="10" t="str">
        <x:v>49</x:v>
      </x:c>
      <x:c r="H9" s="10" t="str">
        <x:v>410</x:v>
      </x:c>
      <x:c r="I9" s="10" t="str">
        <x:v>g</x:v>
      </x:c>
      <x:c r="J9" s="10" t="str">
        <x:v>9123456789019</x:v>
      </x:c>
      <x:c r="K9" s="10" t="str">
        <x:v>Drinkware</x:v>
      </x:c>
      <x:c r="L9" s="10" t="str">
        <x:v>https://northstar.example/images/bottle-sage.jpg</x:v>
      </x:c>
    </x:row>
    <x:row r="10" ht="30" customHeight="1">
      <x:c r="A10" s="10" t="str">
        <x:v>P1004</x:v>
      </x:c>
      <x:c r="B10" s="10" t="str">
        <x:v>LED Desk Lamp</x:v>
      </x:c>
      <x:c r="C10" s="10" t="str">
        <x:v>Black</x:v>
      </x:c>
      <x:c r="D10" s="10" t="str">
        <x:v>Standard</x:v>
      </x:c>
      <x:c r="E10" s="10" t="str">
        <x:v>NS-LAMP-BLK</x:v>
      </x:c>
      <x:c r="F10" s="10" t="str">
        <x:v>49.50</x:v>
      </x:c>
      <x:c r="G10" s="10" t="str">
        <x:v>18</x:v>
      </x:c>
      <x:c r="H10" s="10" t="str">
        <x:v>1.15</x:v>
      </x:c>
      <x:c r="I10" s="10" t="str">
        <x:v>kg</x:v>
      </x:c>
      <x:c r="J10" s="10" t="str">
        <x:v>9123456789020</x:v>
      </x:c>
      <x:c r="K10" s="10" t="str">
        <x:v>Lighting</x:v>
      </x:c>
      <x:c r="L10" s="10" t="str">
        <x:v>https://northstar.example/images/lamp-black.jpg</x:v>
      </x:c>
    </x:row>
    <x:row r="11" ht="30" customHeight="1">
      <x:c r="A11" s="10" t="str">
        <x:v>P1004</x:v>
      </x:c>
      <x:c r="B11" s="10" t="str">
        <x:v>LED Desk Lamp</x:v>
      </x:c>
      <x:c r="C11" s="10" t="str">
        <x:v>White</x:v>
      </x:c>
      <x:c r="D11" s="10" t="str">
        <x:v>Standard</x:v>
      </x:c>
      <x:c r="E11" s="10" t="str">
        <x:v>NS-LAMP-WHT</x:v>
      </x:c>
      <x:c r="F11" s="10" t="str">
        <x:v>49.50</x:v>
      </x:c>
      <x:c r="G11" s="10" t="str">
        <x:v>-4</x:v>
      </x:c>
      <x:c r="H11" s="10" t="str">
        <x:v>1.15</x:v>
      </x:c>
      <x:c r="I11" s="10" t="str">
        <x:v>kg</x:v>
      </x:c>
      <x:c r="J11" s="10" t="str">
        <x:v>9123456789021</x:v>
      </x:c>
      <x:c r="K11" s="10" t="str">
        <x:v>Lighting</x:v>
      </x:c>
      <x:c r="L11" s="10" t="str">
        <x:v>https://northstar.example/images/lamp-white.jpg</x:v>
      </x:c>
    </x:row>
    <x:row r="12" ht="30" customHeight="1">
      <x:c r="A12" s="10" t="str">
        <x:v>P1005</x:v>
      </x:c>
      <x:c r="B12" s="10" t="str">
        <x:v>Felt Storage Bin</x:v>
      </x:c>
      <x:c r="C12" s="10" t="str">
        <x:v>Gray</x:v>
      </x:c>
      <x:c r="D12" s="10" t="str">
        <x:v>Medium</x:v>
      </x:c>
      <x:c r="E12" s="10" t="str">
        <x:v>NS-BIN-GRY-M</x:v>
      </x:c>
      <x:c r="F12" s="10" t="str">
        <x:v>21.00</x:v>
      </x:c>
      <x:c r="G12" s="10" t="str">
        <x:v>63</x:v>
      </x:c>
      <x:c r="H12" s="10" t="str">
        <x:v>530</x:v>
      </x:c>
      <x:c r="I12" s="10" t="str">
        <x:v>g</x:v>
      </x:c>
      <x:c r="J12" s="10" t="str">
        <x:v>9123456789022</x:v>
      </x:c>
      <x:c r="K12" s="10" t="str">
        <x:v>Storage</x:v>
      </x:c>
      <x:c r="L12" s="10" t="str">
        <x:v>https://northstar.example/images/bin-gray.jpg</x:v>
      </x:c>
    </x:row>
    <x:row r="13" ht="30" customHeight="1">
      <x:c r="A13" s="10" t="str">
        <x:v>P1005</x:v>
      </x:c>
      <x:c r="B13" s="10" t="str">
        <x:v>Felt Storage Bin</x:v>
      </x:c>
      <x:c r="C13" s="10" t="str">
        <x:v>Oat</x:v>
      </x:c>
      <x:c r="D13" s="10" t="str">
        <x:v>Medium</x:v>
      </x:c>
      <x:c r="E13" s="10" t="str">
        <x:v>NS-BIN-OAT-M</x:v>
      </x:c>
      <x:c r="F13" s="10" t="str">
        <x:v>21.00</x:v>
      </x:c>
      <x:c r="G13" s="10" t="str">
        <x:v>58</x:v>
      </x:c>
      <x:c r="H13" s="10" t="str">
        <x:v>530</x:v>
      </x:c>
      <x:c r="I13" s="10" t="str">
        <x:v>g</x:v>
      </x:c>
      <x:c r="J13" s="10" t="str">
        <x:v>9123456789023</x:v>
      </x:c>
      <x:c r="K13" s="10" t="str">
        <x:v>Storage</x:v>
      </x:c>
      <x:c r="L13" s="10" t="str">
        <x:v>https://northstar.example/images/bin-oat.jpg</x:v>
      </x:c>
    </x:row>
    <x:row r="14" ht="30" customHeight="1">
      <x:c r="A14" s="10" t="str">
        <x:v>P1006</x:v>
      </x:c>
      <x:c r="B14" s="10" t="str">
        <x:v>Bamboo Cable Tray</x:v>
      </x:c>
      <x:c r="C14" s="10" t="str">
        <x:v>Natural</x:v>
      </x:c>
      <x:c r="D14" s="10" t="str">
        <x:v>40cm</x:v>
      </x:c>
      <x:c r="E14" s="10" t="str">
        <x:v>NS-TRAY-NAT-40</x:v>
      </x:c>
      <x:c r="F14" s="10" t="str">
        <x:v>32.00</x:v>
      </x:c>
      <x:c r="G14" s="10" t="str">
        <x:v>34</x:v>
      </x:c>
      <x:c r="H14" s="10" t="str">
        <x:v>1.2</x:v>
      </x:c>
      <x:c r="I14" s="10" t="str">
        <x:v>lb</x:v>
      </x:c>
      <x:c r="J14" s="10" t="str">
        <x:v>9123456789024</x:v>
      </x:c>
      <x:c r="K14" s="10" t="str">
        <x:v>Desk Accessories</x:v>
      </x:c>
      <x:c r="L14" s="10" t="str">
        <x:v>https://northstar.example/images/tray-40.jpg</x:v>
      </x:c>
    </x:row>
    <x:row r="15" ht="30" customHeight="1">
      <x:c r="A15" s="10" t="str">
        <x:v>P1006</x:v>
      </x:c>
      <x:c r="B15" s="10" t="str">
        <x:v>Bamboo Cable Tray</x:v>
      </x:c>
      <x:c r="C15" s="10" t="str">
        <x:v>Natural</x:v>
      </x:c>
      <x:c r="D15" s="10" t="str">
        <x:v>60cm</x:v>
      </x:c>
      <x:c r="E15" s="10" t="str">
        <x:v>NS-TRAY-NAT-60</x:v>
      </x:c>
      <x:c r="F15" s="10" t="str">
        <x:v>39.00</x:v>
      </x:c>
      <x:c r="G15" s="10" t="str">
        <x:v>27</x:v>
      </x:c>
      <x:c r="H15" s="10" t="str">
        <x:v>720</x:v>
      </x:c>
      <x:c r="I15" s="10" t="str">
        <x:v>g</x:v>
      </x:c>
      <x:c r="J15" s="10" t="str">
        <x:v>9123456789025</x:v>
      </x:c>
      <x:c r="K15" s="10" t="str">
        <x:v>Desk Accessories</x:v>
      </x:c>
      <x:c r="L15" s="10" t="str">
        <x:v>https://northstar.example/images/tray-60.jpg</x:v>
      </x:c>
    </x:row>
    <x:row r="16" ht="30" customHeight="1">
      <x:c r="A16" s="10" t="str">
        <x:v>P1007</x:v>
      </x:c>
      <x:c r="B16" s="10" t="str">
        <x:v>Folding Laptop Stand</x:v>
      </x:c>
      <x:c r="C16" s="10" t="str">
        <x:v>Silver</x:v>
      </x:c>
      <x:c r="D16" s="10" t="str">
        <x:v>Standard</x:v>
      </x:c>
      <x:c r="E16" s="10" t="str">
        <x:v>NS-STAND-SLV</x:v>
      </x:c>
      <x:c r="F16" s="10" t="str">
        <x:v>45.00</x:v>
      </x:c>
      <x:c r="G16" s="10" t="str">
        <x:v>22</x:v>
      </x:c>
      <x:c r="H16" s="10" t="str">
        <x:v>890</x:v>
      </x:c>
      <x:c r="I16" s="10" t="str">
        <x:v>g</x:v>
      </x:c>
      <x:c r="J16" s="10" t="str">
        <x:v>9123456789026</x:v>
      </x:c>
      <x:c r="K16" s="10" t="str">
        <x:v>Desk Accessories</x:v>
      </x:c>
      <x:c r="L16" s="10" t="str">
        <x:v>northstar.example/images/stand-silver.jpg</x:v>
      </x:c>
    </x:row>
    <x:row r="17" ht="30" customHeight="1">
      <x:c r="A17" s="10" t="str">
        <x:v>P1007</x:v>
      </x:c>
      <x:c r="B17" s="10" t="str">
        <x:v>Folding Laptop Stand</x:v>
      </x:c>
      <x:c r="C17" s="10" t="str">
        <x:v>Black</x:v>
      </x:c>
      <x:c r="D17" s="10" t="str">
        <x:v>Standard</x:v>
      </x:c>
      <x:c r="E17" s="10" t="str">
        <x:v>NS-STAND-BLK</x:v>
      </x:c>
      <x:c r="F17" s="10" t="str">
        <x:v>45.00</x:v>
      </x:c>
      <x:c r="G17" s="10" t="str">
        <x:v>20</x:v>
      </x:c>
      <x:c r="H17" s="10" t="str">
        <x:v>890</x:v>
      </x:c>
      <x:c r="I17" s="10" t="str">
        <x:v>g</x:v>
      </x:c>
      <x:c r="J17" s="10" t="str">
        <x:v>9123456789027</x:v>
      </x:c>
      <x:c r="K17" s="10" t="str">
        <x:v>Desk Accessories</x:v>
      </x:c>
      <x:c r="L17" s="10" t="str">
        <x:v>https://northstar.example/images/stand-black.jpg</x:v>
      </x:c>
    </x:row>
    <x:row r="18" ht="30" customHeight="1">
      <x:c r="A18" s="10" t="str">
        <x:v>P1008</x:v>
      </x:c>
      <x:c r="B18" s="10" t="str">
        <x:v>Cork Desk Mat</x:v>
      </x:c>
      <x:c r="C18" s="10" t="str">
        <x:v>Natural</x:v>
      </x:c>
      <x:c r="D18" s="10" t="str">
        <x:v>Large</x:v>
      </x:c>
      <x:c r="E18" s="10" t="str">
        <x:v>NS-MAT-NAT-L</x:v>
      </x:c>
      <x:c r="F18" s="10" t="str">
        <x:v>34.00</x:v>
      </x:c>
      <x:c r="G18" s="10" t="str">
        <x:v>16</x:v>
      </x:c>
      <x:c r="H18" s="10" t="str">
        <x:v>760</x:v>
      </x:c>
      <x:c r="I18" s="10" t="str">
        <x:v>g</x:v>
      </x:c>
      <x:c r="J18" s="10" t="str">
        <x:v>9123456789028</x:v>
      </x:c>
      <x:c r="K18" s="10"/>
      <x:c r="L18" s="10" t="str">
        <x:v>https://northstar.example/images/mat-natural.jpg</x:v>
      </x:c>
    </x:row>
    <x:row r="19" ht="30" customHeight="1">
      <x:c r="A19" s="10" t="str">
        <x:v>P1008</x:v>
      </x:c>
      <x:c r="B19" s="10" t="str">
        <x:v>Cork Desk Mat</x:v>
      </x:c>
      <x:c r="C19" s="10" t="str">
        <x:v>Black</x:v>
      </x:c>
      <x:c r="D19" s="10" t="str">
        <x:v>Large</x:v>
      </x:c>
      <x:c r="E19" s="10" t="str">
        <x:v>NS-STAND-BLK</x:v>
      </x:c>
      <x:c r="F19" s="10" t="str">
        <x:v>34.00</x:v>
      </x:c>
      <x:c r="G19" s="10" t="str">
        <x:v>14</x:v>
      </x:c>
      <x:c r="H19" s="10" t="str">
        <x:v>760</x:v>
      </x:c>
      <x:c r="I19" s="10" t="str">
        <x:v>g</x:v>
      </x:c>
      <x:c r="J19" s="10" t="str">
        <x:v>9123456789029</x:v>
      </x:c>
      <x:c r="K19" s="10" t="str">
        <x:v>Desk Accessories</x:v>
      </x:c>
      <x:c r="L19" s="10" t="str">
        <x:v>https://northstar.example/images/mat-black.jpg</x:v>
      </x:c>
    </x:row>
  </x:sheetData>
  <x:pageMargins left="0.7" right="0.7" top="0.75" bottom="0.75" header="0.3" footer="0.3"/>
  <x:tableParts count="1">
    <x:tablePart xmlns:r="http://schemas.openxmlformats.org/officeDocument/2006/relationships" r:id="Rafc44f5ea0084e4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9" hidden="0" customWidth="1"/>
    <x:col min="9" max="9" width="13" hidden="0" customWidth="1"/>
    <x:col min="10" max="10" width="13" hidden="0" customWidth="1"/>
    <x:col min="11" max="11" width="13" hidden="0" customWidth="1"/>
    <x:col min="12" max="12" width="16" hidden="0" customWidth="1"/>
    <x:col min="13" max="13" width="18" hidden="0" customWidth="1"/>
    <x:col min="14" max="14" width="42" hidden="0" customWidth="1"/>
    <x:col min="15" max="15" width="10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42" hidden="0" customWidth="1"/>
  </x:cols>
  <x:sheetData>
    <x:row r="1">
      <x:c r="A1" s="5" t="str">
        <x:v>Source Row</x:v>
      </x:c>
      <x:c r="B1" s="5" t="str">
        <x:v>Handle</x:v>
      </x:c>
      <x:c r="C1" s="5" t="str">
        <x:v>Title</x:v>
      </x:c>
      <x:c r="D1" s="5" t="str">
        <x:v>Option1 Name</x:v>
      </x:c>
      <x:c r="E1" s="5" t="str">
        <x:v>Option1 Value</x:v>
      </x:c>
      <x:c r="F1" s="5" t="str">
        <x:v>Option2 Name</x:v>
      </x:c>
      <x:c r="G1" s="5" t="str">
        <x:v>Option2 Value</x:v>
      </x:c>
      <x:c r="H1" s="5" t="str">
        <x:v>Variant SKU</x:v>
      </x:c>
      <x:c r="I1" s="5" t="str">
        <x:v>Variant Price</x:v>
      </x:c>
      <x:c r="J1" s="5" t="str">
        <x:v>Inventory Qty</x:v>
      </x:c>
      <x:c r="K1" s="5" t="str">
        <x:v>Variant Grams</x:v>
      </x:c>
      <x:c r="L1" s="5" t="str">
        <x:v>Barcode</x:v>
      </x:c>
      <x:c r="M1" s="5" t="str">
        <x:v>Product Type</x:v>
      </x:c>
      <x:c r="N1" s="5" t="str">
        <x:v>Image Src</x:v>
      </x:c>
      <x:c r="O1" s="5" t="str">
        <x:v>Command</x:v>
      </x:c>
      <x:c r="P1" s="5" t="str">
        <x:v>SKU Check</x:v>
      </x:c>
      <x:c r="Q1" s="5" t="str">
        <x:v>Price Check</x:v>
      </x:c>
      <x:c r="R1" s="5" t="str">
        <x:v>Inventory Check</x:v>
      </x:c>
      <x:c r="S1" s="5" t="str">
        <x:v>Weight Check</x:v>
      </x:c>
      <x:c r="T1" s="5" t="str">
        <x:v>Image Check</x:v>
      </x:c>
      <x:c r="U1" s="5" t="str">
        <x:v>Type Check</x:v>
      </x:c>
      <x:c r="V1" s="5" t="str">
        <x:v>Overall Gate</x:v>
      </x:c>
      <x:c r="W1" s="5" t="str">
        <x:v>Validation Notes</x:v>
      </x:c>
    </x:row>
    <x:row r="2">
      <x:c r="A2" s="10" t="n">
        <x:v>2</x:v>
      </x:c>
      <x:c r="B2" s="10" t="str">
        <x:v>modular-desk-organizer</x:v>
      </x:c>
      <x:c r="C2" s="10" t="str">
        <x:v>Modular Desk Organizer</x:v>
      </x:c>
      <x:c r="D2" s="10" t="str">
        <x:v>Color</x:v>
      </x:c>
      <x:c r="E2" s="10" t="str">
        <x:v>Black</x:v>
      </x:c>
      <x:c r="F2" s="10" t="str">
        <x:v>Size</x:v>
      </x:c>
      <x:c r="G2" s="10" t="str">
        <x:v>Standard</x:v>
      </x:c>
      <x:c r="H2" s="10" t="str">
        <x:v>NS-ORG-BLK-STD</x:v>
      </x:c>
      <x:c r="I2" s="10" t="n">
        <x:v>29.5</x:v>
      </x:c>
      <x:c r="J2" s="10" t="n">
        <x:v>42</x:v>
      </x:c>
      <x:c r="K2" s="10" t="n">
        <x:v>820</x:v>
      </x:c>
      <x:c r="L2" s="10" t="str">
        <x:v>9123456789012</x:v>
      </x:c>
      <x:c r="M2" s="10" t="str">
        <x:v>Desk Accessories</x:v>
      </x:c>
      <x:c r="N2" s="10" t="str">
        <x:v>https://northstar.example/images/organizer-black.jpg</x:v>
      </x:c>
      <x:c r="O2" s="10" t="str">
        <x:v>NEW</x:v>
      </x:c>
      <x:c r="P2" s="10" t="str">
        <x:f>IF(COUNTIF($H$2:$H$19,H2)&gt;1,"DUPLICATE","OK")</x:f>
        <x:v>OK</x:v>
      </x:c>
      <x:c r="Q2" s="10" t="str">
        <x:f>IF(OR(I2="",I2&lt;=0),"REVIEW","OK")</x:f>
        <x:v>OK</x:v>
      </x:c>
      <x:c r="R2" s="10" t="str">
        <x:f>IF(OR(J2="",J2&lt;0),"REVIEW","OK")</x:f>
        <x:v>OK</x:v>
      </x:c>
      <x:c r="S2" s="10" t="str">
        <x:f>IF(OR(K2="",K2&lt;=0),"REVIEW","OK")</x:f>
        <x:v>OK</x:v>
      </x:c>
      <x:c r="T2" s="10" t="str">
        <x:f>IF(LEFT(N2,8)="https://","OK","REVIEW")</x:f>
        <x:v>OK</x:v>
      </x:c>
      <x:c r="U2" s="10" t="str">
        <x:f>IF(M2="","REVIEW","OK")</x:f>
        <x:v>OK</x:v>
      </x:c>
      <x:c r="V2" s="10" t="str">
        <x:f>IF(COUNTIF(P2:U2,"&lt;&gt;OK")&gt;0,"HOLD","READY")</x:f>
        <x:v>READY</x:v>
      </x:c>
      <x:c r="W2" s="10" t="str">
        <x:v>Normalized supplier price and retained source SKU.</x:v>
      </x:c>
    </x:row>
    <x:row r="3">
      <x:c r="A3" s="10" t="n">
        <x:v>3</x:v>
      </x:c>
      <x:c r="B3" s="10" t="str">
        <x:v>modular-desk-organizer</x:v>
      </x:c>
      <x:c r="C3" s="10" t="str">
        <x:v>Modular Desk Organizer</x:v>
      </x:c>
      <x:c r="D3" s="10" t="str">
        <x:v>Color</x:v>
      </x:c>
      <x:c r="E3" s="10" t="str">
        <x:v>White</x:v>
      </x:c>
      <x:c r="F3" s="10" t="str">
        <x:v>Size</x:v>
      </x:c>
      <x:c r="G3" s="10" t="str">
        <x:v>Standard</x:v>
      </x:c>
      <x:c r="H3" s="10" t="str">
        <x:v>NS-ORG-WHT-STD</x:v>
      </x:c>
      <x:c r="I3" s="10" t="n">
        <x:v>29.5</x:v>
      </x:c>
      <x:c r="J3" s="10" t="n">
        <x:v>38</x:v>
      </x:c>
      <x:c r="K3" s="10" t="n">
        <x:v>820</x:v>
      </x:c>
      <x:c r="L3" s="10" t="str">
        <x:v>9123456789013</x:v>
      </x:c>
      <x:c r="M3" s="10" t="str">
        <x:v>Desk Accessories</x:v>
      </x:c>
      <x:c r="N3" s="10" t="str">
        <x:v>https://northstar.example/images/organizer-white.jpg</x:v>
      </x:c>
      <x:c r="O3" s="10" t="str">
        <x:v>NEW</x:v>
      </x:c>
      <x:c r="P3" s="10" t="str">
        <x:f>IF(COUNTIF($H$2:$H$19,H3)&gt;1,"DUPLICATE","OK")</x:f>
        <x:v>OK</x:v>
      </x:c>
      <x:c r="Q3" s="10" t="str">
        <x:f>IF(OR(I3="",I3&lt;=0),"REVIEW","OK")</x:f>
        <x:v>OK</x:v>
      </x:c>
      <x:c r="R3" s="10" t="str">
        <x:f>IF(OR(J3="",J3&lt;0),"REVIEW","OK")</x:f>
        <x:v>OK</x:v>
      </x:c>
      <x:c r="S3" s="10" t="str">
        <x:f>IF(OR(K3="",K3&lt;=0),"REVIEW","OK")</x:f>
        <x:v>OK</x:v>
      </x:c>
      <x:c r="T3" s="10" t="str">
        <x:f>IF(LEFT(N3,8)="https://","OK","REVIEW")</x:f>
        <x:v>OK</x:v>
      </x:c>
      <x:c r="U3" s="10" t="str">
        <x:f>IF(M3="","REVIEW","OK")</x:f>
        <x:v>OK</x:v>
      </x:c>
      <x:c r="V3" s="10" t="str">
        <x:f>IF(COUNTIF(P3:U3,"&lt;&gt;OK")&gt;0,"HOLD","READY")</x:f>
        <x:v>READY</x:v>
      </x:c>
      <x:c r="W3" s="10" t="str">
        <x:v>Trimmed title; normalized color/category; converted kg to grams.</x:v>
      </x:c>
    </x:row>
    <x:row r="4">
      <x:c r="A4" s="10" t="n">
        <x:v>4</x:v>
      </x:c>
      <x:c r="B4" s="10" t="str">
        <x:v>canvas-utility-tote</x:v>
      </x:c>
      <x:c r="C4" s="10" t="str">
        <x:v>Canvas Utility Tote</x:v>
      </x:c>
      <x:c r="D4" s="10" t="str">
        <x:v>Color</x:v>
      </x:c>
      <x:c r="E4" s="10" t="str">
        <x:v>Navy</x:v>
      </x:c>
      <x:c r="F4" s="10" t="str">
        <x:v>Size</x:v>
      </x:c>
      <x:c r="G4" s="10" t="str">
        <x:v>Medium</x:v>
      </x:c>
      <x:c r="H4" s="10" t="str">
        <x:v>NS-TOTE-NVY-M</x:v>
      </x:c>
      <x:c r="I4" s="10" t="n">
        <x:v>36</x:v>
      </x:c>
      <x:c r="J4" s="10" t="n">
        <x:v>31</x:v>
      </x:c>
      <x:c r="K4" s="10" t="n">
        <x:v>640</x:v>
      </x:c>
      <x:c r="L4" s="10" t="str">
        <x:v>9123456789014</x:v>
      </x:c>
      <x:c r="M4" s="10" t="str">
        <x:v>Storage &amp; Carry</x:v>
      </x:c>
      <x:c r="N4" s="10" t="str">
        <x:v>https://northstar.example/images/tote-navy-medium.jpg</x:v>
      </x:c>
      <x:c r="O4" s="10" t="str">
        <x:v>NEW</x:v>
      </x:c>
      <x:c r="P4" s="10" t="str">
        <x:f>IF(COUNTIF($H$2:$H$19,H4)&gt;1,"DUPLICATE","OK")</x:f>
        <x:v>OK</x:v>
      </x:c>
      <x:c r="Q4" s="10" t="str">
        <x:f>IF(OR(I4="",I4&lt;=0),"REVIEW","OK")</x:f>
        <x:v>OK</x:v>
      </x:c>
      <x:c r="R4" s="10" t="str">
        <x:f>IF(OR(J4="",J4&lt;0),"REVIEW","OK")</x:f>
        <x:v>OK</x:v>
      </x:c>
      <x:c r="S4" s="10" t="str">
        <x:f>IF(OR(K4="",K4&lt;=0),"REVIEW","OK")</x:f>
        <x:v>OK</x:v>
      </x:c>
      <x:c r="T4" s="10" t="str">
        <x:f>IF(LEFT(N4,8)="https://","OK","REVIEW")</x:f>
        <x:v>OK</x:v>
      </x:c>
      <x:c r="U4" s="10" t="str">
        <x:f>IF(M4="","REVIEW","OK")</x:f>
        <x:v>OK</x:v>
      </x:c>
      <x:c r="V4" s="10" t="str">
        <x:f>IF(COUNTIF(P4:U4,"&lt;&gt;OK")&gt;0,"HOLD","READY")</x:f>
        <x:v>READY</x:v>
      </x:c>
      <x:c r="W4" s="10" t="str">
        <x:v>Ready after field mapping.</x:v>
      </x:c>
    </x:row>
    <x:row r="5">
      <x:c r="A5" s="10" t="n">
        <x:v>5</x:v>
      </x:c>
      <x:c r="B5" s="10" t="str">
        <x:v>canvas-utility-tote</x:v>
      </x:c>
      <x:c r="C5" s="10" t="str">
        <x:v>Canvas Utility Tote</x:v>
      </x:c>
      <x:c r="D5" s="10" t="str">
        <x:v>Color</x:v>
      </x:c>
      <x:c r="E5" s="10" t="str">
        <x:v>Navy</x:v>
      </x:c>
      <x:c r="F5" s="10" t="str">
        <x:v>Size</x:v>
      </x:c>
      <x:c r="G5" s="10" t="str">
        <x:v>Large</x:v>
      </x:c>
      <x:c r="H5" s="10" t="str">
        <x:v>NS-TOTE-NVY-L</x:v>
      </x:c>
      <x:c r="I5" s="10" t="n">
        <x:v>42</x:v>
      </x:c>
      <x:c r="J5" s="10" t="n">
        <x:v>26</x:v>
      </x:c>
      <x:c r="K5" s="10" t="n">
        <x:v>720</x:v>
      </x:c>
      <x:c r="L5" s="10" t="str">
        <x:v>9123456789015</x:v>
      </x:c>
      <x:c r="M5" s="10" t="str">
        <x:v>Storage &amp; Carry</x:v>
      </x:c>
      <x:c r="N5" s="10" t="str">
        <x:v>https://northstar.example/images/tote-navy-large.jpg</x:v>
      </x:c>
      <x:c r="O5" s="10" t="str">
        <x:v>NEW</x:v>
      </x:c>
      <x:c r="P5" s="10" t="str">
        <x:f>IF(COUNTIF($H$2:$H$19,H5)&gt;1,"DUPLICATE","OK")</x:f>
        <x:v>OK</x:v>
      </x:c>
      <x:c r="Q5" s="10" t="str">
        <x:f>IF(OR(I5="",I5&lt;=0),"REVIEW","OK")</x:f>
        <x:v>OK</x:v>
      </x:c>
      <x:c r="R5" s="10" t="str">
        <x:f>IF(OR(J5="",J5&lt;0),"REVIEW","OK")</x:f>
        <x:v>OK</x:v>
      </x:c>
      <x:c r="S5" s="10" t="str">
        <x:f>IF(OR(K5="",K5&lt;=0),"REVIEW","OK")</x:f>
        <x:v>OK</x:v>
      </x:c>
      <x:c r="T5" s="10" t="str">
        <x:f>IF(LEFT(N5,8)="https://","OK","REVIEW")</x:f>
        <x:v>OK</x:v>
      </x:c>
      <x:c r="U5" s="10" t="str">
        <x:f>IF(M5="","REVIEW","OK")</x:f>
        <x:v>OK</x:v>
      </x:c>
      <x:c r="V5" s="10" t="str">
        <x:f>IF(COUNTIF(P5:U5,"&lt;&gt;OK")&gt;0,"HOLD","READY")</x:f>
        <x:v>READY</x:v>
      </x:c>
      <x:c r="W5" s="10" t="str">
        <x:v>Ready after field mapping.</x:v>
      </x:c>
    </x:row>
    <x:row r="6">
      <x:c r="A6" s="10" t="n">
        <x:v>6</x:v>
      </x:c>
      <x:c r="B6" s="10" t="str">
        <x:v>canvas-utility-tote</x:v>
      </x:c>
      <x:c r="C6" s="10" t="str">
        <x:v>Canvas Utility Tote</x:v>
      </x:c>
      <x:c r="D6" s="10" t="str">
        <x:v>Color</x:v>
      </x:c>
      <x:c r="E6" s="10" t="str">
        <x:v>Sand</x:v>
      </x:c>
      <x:c r="F6" s="10" t="str">
        <x:v>Size</x:v>
      </x:c>
      <x:c r="G6" s="10" t="str">
        <x:v>Medium</x:v>
      </x:c>
      <x:c r="H6" s="10" t="str">
        <x:v>NS-TOTE-SND-M</x:v>
      </x:c>
      <x:c r="I6" s="10" t="n">
        <x:v>36</x:v>
      </x:c>
      <x:c r="J6" s="10" t="n">
        <x:v>29</x:v>
      </x:c>
      <x:c r="K6" s="10" t="n">
        <x:v>640</x:v>
      </x:c>
      <x:c r="L6" s="10" t="str">
        <x:v>9123456789016</x:v>
      </x:c>
      <x:c r="M6" s="10" t="str">
        <x:v>Storage &amp; Carry</x:v>
      </x:c>
      <x:c r="N6" s="10" t="str">
        <x:v>https://northstar.example/images/tote-sand-medium.jpg</x:v>
      </x:c>
      <x:c r="O6" s="10" t="str">
        <x:v>NEW</x:v>
      </x:c>
      <x:c r="P6" s="10" t="str">
        <x:f>IF(COUNTIF($H$2:$H$19,H6)&gt;1,"DUPLICATE","OK")</x:f>
        <x:v>OK</x:v>
      </x:c>
      <x:c r="Q6" s="10" t="str">
        <x:f>IF(OR(I6="",I6&lt;=0),"REVIEW","OK")</x:f>
        <x:v>OK</x:v>
      </x:c>
      <x:c r="R6" s="10" t="str">
        <x:f>IF(OR(J6="",J6&lt;0),"REVIEW","OK")</x:f>
        <x:v>OK</x:v>
      </x:c>
      <x:c r="S6" s="10" t="str">
        <x:f>IF(OR(K6="",K6&lt;=0),"REVIEW","OK")</x:f>
        <x:v>OK</x:v>
      </x:c>
      <x:c r="T6" s="10" t="str">
        <x:f>IF(LEFT(N6,8)="https://","OK","REVIEW")</x:f>
        <x:v>OK</x:v>
      </x:c>
      <x:c r="U6" s="10" t="str">
        <x:f>IF(M6="","REVIEW","OK")</x:f>
        <x:v>OK</x:v>
      </x:c>
      <x:c r="V6" s="10" t="str">
        <x:f>IF(COUNTIF(P6:U6,"&lt;&gt;OK")&gt;0,"HOLD","READY")</x:f>
        <x:v>READY</x:v>
      </x:c>
      <x:c r="W6" s="10" t="str">
        <x:v>Converted kg to grams.</x:v>
      </x:c>
    </x:row>
    <x:row r="7">
      <x:c r="A7" s="10" t="n">
        <x:v>7</x:v>
      </x:c>
      <x:c r="B7" s="10" t="str">
        <x:v>canvas-utility-tote</x:v>
      </x:c>
      <x:c r="C7" s="10" t="str">
        <x:v>Canvas Utility Tote</x:v>
      </x:c>
      <x:c r="D7" s="10" t="str">
        <x:v>Color</x:v>
      </x:c>
      <x:c r="E7" s="10" t="str">
        <x:v>Sand</x:v>
      </x:c>
      <x:c r="F7" s="10" t="str">
        <x:v>Size</x:v>
      </x:c>
      <x:c r="G7" s="10" t="str">
        <x:v>Large</x:v>
      </x:c>
      <x:c r="H7" s="10" t="str">
        <x:v>NS-TOTE-SND-L</x:v>
      </x:c>
      <x:c r="I7" s="10" t="n">
        <x:v>42</x:v>
      </x:c>
      <x:c r="J7" s="10" t="n">
        <x:v>25</x:v>
      </x:c>
      <x:c r="K7" s="10" t="n">
        <x:v>720</x:v>
      </x:c>
      <x:c r="L7" s="10" t="str">
        <x:v>9123456789017</x:v>
      </x:c>
      <x:c r="M7" s="10" t="str">
        <x:v>Storage &amp; Carry</x:v>
      </x:c>
      <x:c r="N7" s="10" t="str">
        <x:v>https://northstar.example/images/tote-sand-large.jpg</x:v>
      </x:c>
      <x:c r="O7" s="10" t="str">
        <x:v>NEW</x:v>
      </x:c>
      <x:c r="P7" s="10" t="str">
        <x:f>IF(COUNTIF($H$2:$H$19,H7)&gt;1,"DUPLICATE","OK")</x:f>
        <x:v>OK</x:v>
      </x:c>
      <x:c r="Q7" s="10" t="str">
        <x:f>IF(OR(I7="",I7&lt;=0),"REVIEW","OK")</x:f>
        <x:v>OK</x:v>
      </x:c>
      <x:c r="R7" s="10" t="str">
        <x:f>IF(OR(J7="",J7&lt;0),"REVIEW","OK")</x:f>
        <x:v>OK</x:v>
      </x:c>
      <x:c r="S7" s="10" t="str">
        <x:f>IF(OR(K7="",K7&lt;=0),"REVIEW","OK")</x:f>
        <x:v>OK</x:v>
      </x:c>
      <x:c r="T7" s="10" t="str">
        <x:f>IF(LEFT(N7,8)="https://","OK","REVIEW")</x:f>
        <x:v>OK</x:v>
      </x:c>
      <x:c r="U7" s="10" t="str">
        <x:f>IF(M7="","REVIEW","OK")</x:f>
        <x:v>OK</x:v>
      </x:c>
      <x:c r="V7" s="10" t="str">
        <x:f>IF(COUNTIF(P7:U7,"&lt;&gt;OK")&gt;0,"HOLD","READY")</x:f>
        <x:v>READY</x:v>
      </x:c>
      <x:c r="W7" s="10" t="str">
        <x:v>Converted kg to grams.</x:v>
      </x:c>
    </x:row>
    <x:row r="8">
      <x:c r="A8" s="10" t="n">
        <x:v>8</x:v>
      </x:c>
      <x:c r="B8" s="10" t="str">
        <x:v>stainless-water-bottle</x:v>
      </x:c>
      <x:c r="C8" s="10" t="str">
        <x:v>Stainless Water Bottle</x:v>
      </x:c>
      <x:c r="D8" s="10" t="str">
        <x:v>Color</x:v>
      </x:c>
      <x:c r="E8" s="10" t="str">
        <x:v>Charcoal</x:v>
      </x:c>
      <x:c r="F8" s="10" t="str">
        <x:v>Size</x:v>
      </x:c>
      <x:c r="G8" s="10" t="str">
        <x:v>600ml</x:v>
      </x:c>
      <x:c r="H8" s="10" t="str">
        <x:v>NS-WB-600-CHR</x:v>
      </x:c>
      <x:c r="I8" s="10" t="n">
        <x:v>24.95</x:v>
      </x:c>
      <x:c r="J8" s="10" t="n">
        <x:v>54</x:v>
      </x:c>
      <x:c r="K8" s="10" t="n">
        <x:v>410</x:v>
      </x:c>
      <x:c r="L8" s="10" t="str">
        <x:v>9123456789018</x:v>
      </x:c>
      <x:c r="M8" s="10" t="str">
        <x:v>Drinkware</x:v>
      </x:c>
      <x:c r="N8" s="10" t="str">
        <x:v>https://northstar.example/images/bottle-charcoal.jpg</x:v>
      </x:c>
      <x:c r="O8" s="10" t="str">
        <x:v>NEW</x:v>
      </x:c>
      <x:c r="P8" s="10" t="str">
        <x:f>IF(COUNTIF($H$2:$H$19,H8)&gt;1,"DUPLICATE","OK")</x:f>
        <x:v>OK</x:v>
      </x:c>
      <x:c r="Q8" s="10" t="str">
        <x:f>IF(OR(I8="",I8&lt;=0),"REVIEW","OK")</x:f>
        <x:v>OK</x:v>
      </x:c>
      <x:c r="R8" s="10" t="str">
        <x:f>IF(OR(J8="",J8&lt;0),"REVIEW","OK")</x:f>
        <x:v>OK</x:v>
      </x:c>
      <x:c r="S8" s="10" t="str">
        <x:f>IF(OR(K8="",K8&lt;=0),"REVIEW","OK")</x:f>
        <x:v>OK</x:v>
      </x:c>
      <x:c r="T8" s="10" t="str">
        <x:f>IF(LEFT(N8,8)="https://","OK","REVIEW")</x:f>
        <x:v>OK</x:v>
      </x:c>
      <x:c r="U8" s="10" t="str">
        <x:f>IF(M8="","REVIEW","OK")</x:f>
        <x:v>OK</x:v>
      </x:c>
      <x:c r="V8" s="10" t="str">
        <x:f>IF(COUNTIF(P8:U8,"&lt;&gt;OK")&gt;0,"HOLD","READY")</x:f>
        <x:v>READY</x:v>
      </x:c>
      <x:c r="W8" s="10" t="str">
        <x:v>Ready after field mapping.</x:v>
      </x:c>
    </x:row>
    <x:row r="9">
      <x:c r="A9" s="10" t="n">
        <x:v>9</x:v>
      </x:c>
      <x:c r="B9" s="10" t="str">
        <x:v>stainless-water-bottle</x:v>
      </x:c>
      <x:c r="C9" s="10" t="str">
        <x:v>Stainless Water Bottle</x:v>
      </x:c>
      <x:c r="D9" s="10" t="str">
        <x:v>Color</x:v>
      </x:c>
      <x:c r="E9" s="10" t="str">
        <x:v>Sage</x:v>
      </x:c>
      <x:c r="F9" s="10" t="str">
        <x:v>Size</x:v>
      </x:c>
      <x:c r="G9" s="10" t="str">
        <x:v>600ml</x:v>
      </x:c>
      <x:c r="H9" s="10" t="str">
        <x:v>NS-WB-600-SG</x:v>
      </x:c>
      <x:c r="I9" s="10"/>
      <x:c r="J9" s="10" t="n">
        <x:v>49</x:v>
      </x:c>
      <x:c r="K9" s="10" t="n">
        <x:v>410</x:v>
      </x:c>
      <x:c r="L9" s="10" t="str">
        <x:v>9123456789019</x:v>
      </x:c>
      <x:c r="M9" s="10" t="str">
        <x:v>Drinkware</x:v>
      </x:c>
      <x:c r="N9" s="10" t="str">
        <x:v>https://northstar.example/images/bottle-sage.jpg</x:v>
      </x:c>
      <x:c r="O9" s="10" t="str">
        <x:v>NEW</x:v>
      </x:c>
      <x:c r="P9" s="10" t="str">
        <x:f>IF(COUNTIF($H$2:$H$19,H9)&gt;1,"DUPLICATE","OK")</x:f>
        <x:v>OK</x:v>
      </x:c>
      <x:c r="Q9" s="10" t="str">
        <x:f>IF(OR(I9="",I9&lt;=0),"REVIEW","OK")</x:f>
        <x:v>REVIEW</x:v>
      </x:c>
      <x:c r="R9" s="10" t="str">
        <x:f>IF(OR(J9="",J9&lt;0),"REVIEW","OK")</x:f>
        <x:v>OK</x:v>
      </x:c>
      <x:c r="S9" s="10" t="str">
        <x:f>IF(OR(K9="",K9&lt;=0),"REVIEW","OK")</x:f>
        <x:v>OK</x:v>
      </x:c>
      <x:c r="T9" s="10" t="str">
        <x:f>IF(LEFT(N9,8)="https://","OK","REVIEW")</x:f>
        <x:v>OK</x:v>
      </x:c>
      <x:c r="U9" s="10" t="str">
        <x:f>IF(M9="","REVIEW","OK")</x:f>
        <x:v>OK</x:v>
      </x:c>
      <x:c r="V9" s="10" t="str">
        <x:f>IF(COUNTIF(P9:U9,"&lt;&gt;OK")&gt;0,"HOLD","READY")</x:f>
        <x:v>HOLD</x:v>
      </x:c>
      <x:c r="W9" s="10" t="str">
        <x:v>Price is TBD in supplier feed. Hold until confirmed.</x:v>
      </x:c>
    </x:row>
    <x:row r="10">
      <x:c r="A10" s="10" t="n">
        <x:v>10</x:v>
      </x:c>
      <x:c r="B10" s="10" t="str">
        <x:v>led-desk-lamp</x:v>
      </x:c>
      <x:c r="C10" s="10" t="str">
        <x:v>LED Desk Lamp</x:v>
      </x:c>
      <x:c r="D10" s="10" t="str">
        <x:v>Color</x:v>
      </x:c>
      <x:c r="E10" s="10" t="str">
        <x:v>Black</x:v>
      </x:c>
      <x:c r="F10" s="10" t="str">
        <x:v>Size</x:v>
      </x:c>
      <x:c r="G10" s="10" t="str">
        <x:v>Standard</x:v>
      </x:c>
      <x:c r="H10" s="10" t="str">
        <x:v>NS-LAMP-BLK</x:v>
      </x:c>
      <x:c r="I10" s="10" t="n">
        <x:v>49.5</x:v>
      </x:c>
      <x:c r="J10" s="10" t="n">
        <x:v>18</x:v>
      </x:c>
      <x:c r="K10" s="10" t="n">
        <x:v>1150</x:v>
      </x:c>
      <x:c r="L10" s="10" t="str">
        <x:v>9123456789020</x:v>
      </x:c>
      <x:c r="M10" s="10" t="str">
        <x:v>Lighting</x:v>
      </x:c>
      <x:c r="N10" s="10" t="str">
        <x:v>https://northstar.example/images/lamp-black.jpg</x:v>
      </x:c>
      <x:c r="O10" s="10" t="str">
        <x:v>NEW</x:v>
      </x:c>
      <x:c r="P10" s="10" t="str">
        <x:f>IF(COUNTIF($H$2:$H$19,H10)&gt;1,"DUPLICATE","OK")</x:f>
        <x:v>OK</x:v>
      </x:c>
      <x:c r="Q10" s="10" t="str">
        <x:f>IF(OR(I10="",I10&lt;=0),"REVIEW","OK")</x:f>
        <x:v>OK</x:v>
      </x:c>
      <x:c r="R10" s="10" t="str">
        <x:f>IF(OR(J10="",J10&lt;0),"REVIEW","OK")</x:f>
        <x:v>OK</x:v>
      </x:c>
      <x:c r="S10" s="10" t="str">
        <x:f>IF(OR(K10="",K10&lt;=0),"REVIEW","OK")</x:f>
        <x:v>OK</x:v>
      </x:c>
      <x:c r="T10" s="10" t="str">
        <x:f>IF(LEFT(N10,8)="https://","OK","REVIEW")</x:f>
        <x:v>OK</x:v>
      </x:c>
      <x:c r="U10" s="10" t="str">
        <x:f>IF(M10="","REVIEW","OK")</x:f>
        <x:v>OK</x:v>
      </x:c>
      <x:c r="V10" s="10" t="str">
        <x:f>IF(COUNTIF(P10:U10,"&lt;&gt;OK")&gt;0,"HOLD","READY")</x:f>
        <x:v>READY</x:v>
      </x:c>
      <x:c r="W10" s="10" t="str">
        <x:v>Converted kg to grams.</x:v>
      </x:c>
    </x:row>
    <x:row r="11">
      <x:c r="A11" s="10" t="n">
        <x:v>11</x:v>
      </x:c>
      <x:c r="B11" s="10" t="str">
        <x:v>led-desk-lamp</x:v>
      </x:c>
      <x:c r="C11" s="10" t="str">
        <x:v>LED Desk Lamp</x:v>
      </x:c>
      <x:c r="D11" s="10" t="str">
        <x:v>Color</x:v>
      </x:c>
      <x:c r="E11" s="10" t="str">
        <x:v>White</x:v>
      </x:c>
      <x:c r="F11" s="10" t="str">
        <x:v>Size</x:v>
      </x:c>
      <x:c r="G11" s="10" t="str">
        <x:v>Standard</x:v>
      </x:c>
      <x:c r="H11" s="10" t="str">
        <x:v>NS-LAMP-WHT</x:v>
      </x:c>
      <x:c r="I11" s="10" t="n">
        <x:v>49.5</x:v>
      </x:c>
      <x:c r="J11" s="10" t="n">
        <x:v>-4</x:v>
      </x:c>
      <x:c r="K11" s="10" t="n">
        <x:v>1150</x:v>
      </x:c>
      <x:c r="L11" s="10" t="str">
        <x:v>9123456789021</x:v>
      </x:c>
      <x:c r="M11" s="10" t="str">
        <x:v>Lighting</x:v>
      </x:c>
      <x:c r="N11" s="10" t="str">
        <x:v>https://northstar.example/images/lamp-white.jpg</x:v>
      </x:c>
      <x:c r="O11" s="10" t="str">
        <x:v>NEW</x:v>
      </x:c>
      <x:c r="P11" s="10" t="str">
        <x:f>IF(COUNTIF($H$2:$H$19,H11)&gt;1,"DUPLICATE","OK")</x:f>
        <x:v>OK</x:v>
      </x:c>
      <x:c r="Q11" s="10" t="str">
        <x:f>IF(OR(I11="",I11&lt;=0),"REVIEW","OK")</x:f>
        <x:v>OK</x:v>
      </x:c>
      <x:c r="R11" s="10" t="str">
        <x:f>IF(OR(J11="",J11&lt;0),"REVIEW","OK")</x:f>
        <x:v>REVIEW</x:v>
      </x:c>
      <x:c r="S11" s="10" t="str">
        <x:f>IF(OR(K11="",K11&lt;=0),"REVIEW","OK")</x:f>
        <x:v>OK</x:v>
      </x:c>
      <x:c r="T11" s="10" t="str">
        <x:f>IF(LEFT(N11,8)="https://","OK","REVIEW")</x:f>
        <x:v>OK</x:v>
      </x:c>
      <x:c r="U11" s="10" t="str">
        <x:f>IF(M11="","REVIEW","OK")</x:f>
        <x:v>OK</x:v>
      </x:c>
      <x:c r="V11" s="10" t="str">
        <x:f>IF(COUNTIF(P11:U11,"&lt;&gt;OK")&gt;0,"HOLD","READY")</x:f>
        <x:v>HOLD</x:v>
      </x:c>
      <x:c r="W11" s="10" t="str">
        <x:v>Negative stock value. Hold for supplier correction.</x:v>
      </x:c>
    </x:row>
    <x:row r="12">
      <x:c r="A12" s="10" t="n">
        <x:v>12</x:v>
      </x:c>
      <x:c r="B12" s="10" t="str">
        <x:v>felt-storage-bin</x:v>
      </x:c>
      <x:c r="C12" s="10" t="str">
        <x:v>Felt Storage Bin</x:v>
      </x:c>
      <x:c r="D12" s="10" t="str">
        <x:v>Color</x:v>
      </x:c>
      <x:c r="E12" s="10" t="str">
        <x:v>Gray</x:v>
      </x:c>
      <x:c r="F12" s="10" t="str">
        <x:v>Size</x:v>
      </x:c>
      <x:c r="G12" s="10" t="str">
        <x:v>Medium</x:v>
      </x:c>
      <x:c r="H12" s="10" t="str">
        <x:v>NS-BIN-GRY-M</x:v>
      </x:c>
      <x:c r="I12" s="10" t="n">
        <x:v>21</x:v>
      </x:c>
      <x:c r="J12" s="10" t="n">
        <x:v>63</x:v>
      </x:c>
      <x:c r="K12" s="10" t="n">
        <x:v>530</x:v>
      </x:c>
      <x:c r="L12" s="10" t="str">
        <x:v>9123456789022</x:v>
      </x:c>
      <x:c r="M12" s="10" t="str">
        <x:v>Storage</x:v>
      </x:c>
      <x:c r="N12" s="10" t="str">
        <x:v>https://northstar.example/images/bin-gray.jpg</x:v>
      </x:c>
      <x:c r="O12" s="10" t="str">
        <x:v>NEW</x:v>
      </x:c>
      <x:c r="P12" s="10" t="str">
        <x:f>IF(COUNTIF($H$2:$H$19,H12)&gt;1,"DUPLICATE","OK")</x:f>
        <x:v>OK</x:v>
      </x:c>
      <x:c r="Q12" s="10" t="str">
        <x:f>IF(OR(I12="",I12&lt;=0),"REVIEW","OK")</x:f>
        <x:v>OK</x:v>
      </x:c>
      <x:c r="R12" s="10" t="str">
        <x:f>IF(OR(J12="",J12&lt;0),"REVIEW","OK")</x:f>
        <x:v>OK</x:v>
      </x:c>
      <x:c r="S12" s="10" t="str">
        <x:f>IF(OR(K12="",K12&lt;=0),"REVIEW","OK")</x:f>
        <x:v>OK</x:v>
      </x:c>
      <x:c r="T12" s="10" t="str">
        <x:f>IF(LEFT(N12,8)="https://","OK","REVIEW")</x:f>
        <x:v>OK</x:v>
      </x:c>
      <x:c r="U12" s="10" t="str">
        <x:f>IF(M12="","REVIEW","OK")</x:f>
        <x:v>OK</x:v>
      </x:c>
      <x:c r="V12" s="10" t="str">
        <x:f>IF(COUNTIF(P12:U12,"&lt;&gt;OK")&gt;0,"HOLD","READY")</x:f>
        <x:v>READY</x:v>
      </x:c>
      <x:c r="W12" s="10" t="str">
        <x:v>Ready after field mapping.</x:v>
      </x:c>
    </x:row>
    <x:row r="13">
      <x:c r="A13" s="10" t="n">
        <x:v>13</x:v>
      </x:c>
      <x:c r="B13" s="10" t="str">
        <x:v>felt-storage-bin</x:v>
      </x:c>
      <x:c r="C13" s="10" t="str">
        <x:v>Felt Storage Bin</x:v>
      </x:c>
      <x:c r="D13" s="10" t="str">
        <x:v>Color</x:v>
      </x:c>
      <x:c r="E13" s="10" t="str">
        <x:v>Oat</x:v>
      </x:c>
      <x:c r="F13" s="10" t="str">
        <x:v>Size</x:v>
      </x:c>
      <x:c r="G13" s="10" t="str">
        <x:v>Medium</x:v>
      </x:c>
      <x:c r="H13" s="10" t="str">
        <x:v>NS-BIN-OAT-M</x:v>
      </x:c>
      <x:c r="I13" s="10" t="n">
        <x:v>21</x:v>
      </x:c>
      <x:c r="J13" s="10" t="n">
        <x:v>58</x:v>
      </x:c>
      <x:c r="K13" s="10" t="n">
        <x:v>530</x:v>
      </x:c>
      <x:c r="L13" s="10" t="str">
        <x:v>9123456789023</x:v>
      </x:c>
      <x:c r="M13" s="10" t="str">
        <x:v>Storage</x:v>
      </x:c>
      <x:c r="N13" s="10" t="str">
        <x:v>https://northstar.example/images/bin-oat.jpg</x:v>
      </x:c>
      <x:c r="O13" s="10" t="str">
        <x:v>NEW</x:v>
      </x:c>
      <x:c r="P13" s="10" t="str">
        <x:f>IF(COUNTIF($H$2:$H$19,H13)&gt;1,"DUPLICATE","OK")</x:f>
        <x:v>OK</x:v>
      </x:c>
      <x:c r="Q13" s="10" t="str">
        <x:f>IF(OR(I13="",I13&lt;=0),"REVIEW","OK")</x:f>
        <x:v>OK</x:v>
      </x:c>
      <x:c r="R13" s="10" t="str">
        <x:f>IF(OR(J13="",J13&lt;0),"REVIEW","OK")</x:f>
        <x:v>OK</x:v>
      </x:c>
      <x:c r="S13" s="10" t="str">
        <x:f>IF(OR(K13="",K13&lt;=0),"REVIEW","OK")</x:f>
        <x:v>OK</x:v>
      </x:c>
      <x:c r="T13" s="10" t="str">
        <x:f>IF(LEFT(N13,8)="https://","OK","REVIEW")</x:f>
        <x:v>OK</x:v>
      </x:c>
      <x:c r="U13" s="10" t="str">
        <x:f>IF(M13="","REVIEW","OK")</x:f>
        <x:v>OK</x:v>
      </x:c>
      <x:c r="V13" s="10" t="str">
        <x:f>IF(COUNTIF(P13:U13,"&lt;&gt;OK")&gt;0,"HOLD","READY")</x:f>
        <x:v>READY</x:v>
      </x:c>
      <x:c r="W13" s="10" t="str">
        <x:v>Ready after field mapping.</x:v>
      </x:c>
    </x:row>
    <x:row r="14">
      <x:c r="A14" s="10" t="n">
        <x:v>14</x:v>
      </x:c>
      <x:c r="B14" s="10" t="str">
        <x:v>bamboo-cable-tray</x:v>
      </x:c>
      <x:c r="C14" s="10" t="str">
        <x:v>Bamboo Cable Tray</x:v>
      </x:c>
      <x:c r="D14" s="10" t="str">
        <x:v>Color</x:v>
      </x:c>
      <x:c r="E14" s="10" t="str">
        <x:v>Natural</x:v>
      </x:c>
      <x:c r="F14" s="10" t="str">
        <x:v>Size</x:v>
      </x:c>
      <x:c r="G14" s="10" t="str">
        <x:v>40cm</x:v>
      </x:c>
      <x:c r="H14" s="10" t="str">
        <x:v>NS-TRAY-NAT-40</x:v>
      </x:c>
      <x:c r="I14" s="10" t="n">
        <x:v>32</x:v>
      </x:c>
      <x:c r="J14" s="10" t="n">
        <x:v>34</x:v>
      </x:c>
      <x:c r="K14" s="10"/>
      <x:c r="L14" s="10" t="str">
        <x:v>9123456789024</x:v>
      </x:c>
      <x:c r="M14" s="10" t="str">
        <x:v>Desk Accessories</x:v>
      </x:c>
      <x:c r="N14" s="10" t="str">
        <x:v>https://northstar.example/images/tray-40.jpg</x:v>
      </x:c>
      <x:c r="O14" s="10" t="str">
        <x:v>NEW</x:v>
      </x:c>
      <x:c r="P14" s="10" t="str">
        <x:f>IF(COUNTIF($H$2:$H$19,H14)&gt;1,"DUPLICATE","OK")</x:f>
        <x:v>OK</x:v>
      </x:c>
      <x:c r="Q14" s="10" t="str">
        <x:f>IF(OR(I14="",I14&lt;=0),"REVIEW","OK")</x:f>
        <x:v>OK</x:v>
      </x:c>
      <x:c r="R14" s="10" t="str">
        <x:f>IF(OR(J14="",J14&lt;0),"REVIEW","OK")</x:f>
        <x:v>OK</x:v>
      </x:c>
      <x:c r="S14" s="10" t="str">
        <x:f>IF(OR(K14="",K14&lt;=0),"REVIEW","OK")</x:f>
        <x:v>REVIEW</x:v>
      </x:c>
      <x:c r="T14" s="10" t="str">
        <x:f>IF(LEFT(N14,8)="https://","OK","REVIEW")</x:f>
        <x:v>OK</x:v>
      </x:c>
      <x:c r="U14" s="10" t="str">
        <x:f>IF(M14="","REVIEW","OK")</x:f>
        <x:v>OK</x:v>
      </x:c>
      <x:c r="V14" s="10" t="str">
        <x:f>IF(COUNTIF(P14:U14,"&lt;&gt;OK")&gt;0,"HOLD","READY")</x:f>
        <x:v>HOLD</x:v>
      </x:c>
      <x:c r="W14" s="10" t="str">
        <x:v>Source weight is in lb; project standard requires an approved conversion rule before import.</x:v>
      </x:c>
    </x:row>
    <x:row r="15">
      <x:c r="A15" s="10" t="n">
        <x:v>15</x:v>
      </x:c>
      <x:c r="B15" s="10" t="str">
        <x:v>bamboo-cable-tray</x:v>
      </x:c>
      <x:c r="C15" s="10" t="str">
        <x:v>Bamboo Cable Tray</x:v>
      </x:c>
      <x:c r="D15" s="10" t="str">
        <x:v>Color</x:v>
      </x:c>
      <x:c r="E15" s="10" t="str">
        <x:v>Natural</x:v>
      </x:c>
      <x:c r="F15" s="10" t="str">
        <x:v>Size</x:v>
      </x:c>
      <x:c r="G15" s="10" t="str">
        <x:v>60cm</x:v>
      </x:c>
      <x:c r="H15" s="10" t="str">
        <x:v>NS-TRAY-NAT-60</x:v>
      </x:c>
      <x:c r="I15" s="10" t="n">
        <x:v>39</x:v>
      </x:c>
      <x:c r="J15" s="10" t="n">
        <x:v>27</x:v>
      </x:c>
      <x:c r="K15" s="10" t="n">
        <x:v>720</x:v>
      </x:c>
      <x:c r="L15" s="10" t="str">
        <x:v>9123456789025</x:v>
      </x:c>
      <x:c r="M15" s="10" t="str">
        <x:v>Desk Accessories</x:v>
      </x:c>
      <x:c r="N15" s="10" t="str">
        <x:v>https://northstar.example/images/tray-60.jpg</x:v>
      </x:c>
      <x:c r="O15" s="10" t="str">
        <x:v>NEW</x:v>
      </x:c>
      <x:c r="P15" s="10" t="str">
        <x:f>IF(COUNTIF($H$2:$H$19,H15)&gt;1,"DUPLICATE","OK")</x:f>
        <x:v>OK</x:v>
      </x:c>
      <x:c r="Q15" s="10" t="str">
        <x:f>IF(OR(I15="",I15&lt;=0),"REVIEW","OK")</x:f>
        <x:v>OK</x:v>
      </x:c>
      <x:c r="R15" s="10" t="str">
        <x:f>IF(OR(J15="",J15&lt;0),"REVIEW","OK")</x:f>
        <x:v>OK</x:v>
      </x:c>
      <x:c r="S15" s="10" t="str">
        <x:f>IF(OR(K15="",K15&lt;=0),"REVIEW","OK")</x:f>
        <x:v>OK</x:v>
      </x:c>
      <x:c r="T15" s="10" t="str">
        <x:f>IF(LEFT(N15,8)="https://","OK","REVIEW")</x:f>
        <x:v>OK</x:v>
      </x:c>
      <x:c r="U15" s="10" t="str">
        <x:f>IF(M15="","REVIEW","OK")</x:f>
        <x:v>OK</x:v>
      </x:c>
      <x:c r="V15" s="10" t="str">
        <x:f>IF(COUNTIF(P15:U15,"&lt;&gt;OK")&gt;0,"HOLD","READY")</x:f>
        <x:v>READY</x:v>
      </x:c>
      <x:c r="W15" s="10" t="str">
        <x:v>Ready after field mapping.</x:v>
      </x:c>
    </x:row>
    <x:row r="16">
      <x:c r="A16" s="10" t="n">
        <x:v>16</x:v>
      </x:c>
      <x:c r="B16" s="10" t="str">
        <x:v>folding-laptop-stand</x:v>
      </x:c>
      <x:c r="C16" s="10" t="str">
        <x:v>Folding Laptop Stand</x:v>
      </x:c>
      <x:c r="D16" s="10" t="str">
        <x:v>Color</x:v>
      </x:c>
      <x:c r="E16" s="10" t="str">
        <x:v>Silver</x:v>
      </x:c>
      <x:c r="F16" s="10" t="str">
        <x:v>Size</x:v>
      </x:c>
      <x:c r="G16" s="10" t="str">
        <x:v>Standard</x:v>
      </x:c>
      <x:c r="H16" s="10" t="str">
        <x:v>NS-STAND-SLV</x:v>
      </x:c>
      <x:c r="I16" s="10" t="n">
        <x:v>45</x:v>
      </x:c>
      <x:c r="J16" s="10" t="n">
        <x:v>22</x:v>
      </x:c>
      <x:c r="K16" s="10" t="n">
        <x:v>890</x:v>
      </x:c>
      <x:c r="L16" s="10" t="str">
        <x:v>9123456789026</x:v>
      </x:c>
      <x:c r="M16" s="10" t="str">
        <x:v>Desk Accessories</x:v>
      </x:c>
      <x:c r="N16" s="10" t="str">
        <x:v>northstar.example/images/stand-silver.jpg</x:v>
      </x:c>
      <x:c r="O16" s="10" t="str">
        <x:v>NEW</x:v>
      </x:c>
      <x:c r="P16" s="10" t="str">
        <x:f>IF(COUNTIF($H$2:$H$19,H16)&gt;1,"DUPLICATE","OK")</x:f>
        <x:v>OK</x:v>
      </x:c>
      <x:c r="Q16" s="10" t="str">
        <x:f>IF(OR(I16="",I16&lt;=0),"REVIEW","OK")</x:f>
        <x:v>OK</x:v>
      </x:c>
      <x:c r="R16" s="10" t="str">
        <x:f>IF(OR(J16="",J16&lt;0),"REVIEW","OK")</x:f>
        <x:v>OK</x:v>
      </x:c>
      <x:c r="S16" s="10" t="str">
        <x:f>IF(OR(K16="",K16&lt;=0),"REVIEW","OK")</x:f>
        <x:v>OK</x:v>
      </x:c>
      <x:c r="T16" s="10" t="str">
        <x:f>IF(LEFT(N16,8)="https://","OK","REVIEW")</x:f>
        <x:v>REVIEW</x:v>
      </x:c>
      <x:c r="U16" s="10" t="str">
        <x:f>IF(M16="","REVIEW","OK")</x:f>
        <x:v>OK</x:v>
      </x:c>
      <x:c r="V16" s="10" t="str">
        <x:f>IF(COUNTIF(P16:U16,"&lt;&gt;OK")&gt;0,"HOLD","READY")</x:f>
        <x:v>HOLD</x:v>
      </x:c>
      <x:c r="W16" s="10" t="str">
        <x:v>Image URL lacks https://. Hold until valid source URL is supplied.</x:v>
      </x:c>
    </x:row>
    <x:row r="17">
      <x:c r="A17" s="10" t="n">
        <x:v>17</x:v>
      </x:c>
      <x:c r="B17" s="10" t="str">
        <x:v>folding-laptop-stand</x:v>
      </x:c>
      <x:c r="C17" s="10" t="str">
        <x:v>Folding Laptop Stand</x:v>
      </x:c>
      <x:c r="D17" s="10" t="str">
        <x:v>Color</x:v>
      </x:c>
      <x:c r="E17" s="10" t="str">
        <x:v>Black</x:v>
      </x:c>
      <x:c r="F17" s="10" t="str">
        <x:v>Size</x:v>
      </x:c>
      <x:c r="G17" s="10" t="str">
        <x:v>Standard</x:v>
      </x:c>
      <x:c r="H17" s="10" t="str">
        <x:v>NS-STAND-BLK</x:v>
      </x:c>
      <x:c r="I17" s="10" t="n">
        <x:v>45</x:v>
      </x:c>
      <x:c r="J17" s="10" t="n">
        <x:v>20</x:v>
      </x:c>
      <x:c r="K17" s="10" t="n">
        <x:v>890</x:v>
      </x:c>
      <x:c r="L17" s="10" t="str">
        <x:v>9123456789027</x:v>
      </x:c>
      <x:c r="M17" s="10" t="str">
        <x:v>Desk Accessories</x:v>
      </x:c>
      <x:c r="N17" s="10" t="str">
        <x:v>https://northstar.example/images/stand-black.jpg</x:v>
      </x:c>
      <x:c r="O17" s="10" t="str">
        <x:v>NEW</x:v>
      </x:c>
      <x:c r="P17" s="10" t="str">
        <x:f>IF(COUNTIF($H$2:$H$19,H17)&gt;1,"DUPLICATE","OK")</x:f>
        <x:v>DUPLICATE</x:v>
      </x:c>
      <x:c r="Q17" s="10" t="str">
        <x:f>IF(OR(I17="",I17&lt;=0),"REVIEW","OK")</x:f>
        <x:v>OK</x:v>
      </x:c>
      <x:c r="R17" s="10" t="str">
        <x:f>IF(OR(J17="",J17&lt;0),"REVIEW","OK")</x:f>
        <x:v>OK</x:v>
      </x:c>
      <x:c r="S17" s="10" t="str">
        <x:f>IF(OR(K17="",K17&lt;=0),"REVIEW","OK")</x:f>
        <x:v>OK</x:v>
      </x:c>
      <x:c r="T17" s="10" t="str">
        <x:f>IF(LEFT(N17,8)="https://","OK","REVIEW")</x:f>
        <x:v>OK</x:v>
      </x:c>
      <x:c r="U17" s="10" t="str">
        <x:f>IF(M17="","REVIEW","OK")</x:f>
        <x:v>OK</x:v>
      </x:c>
      <x:c r="V17" s="10" t="str">
        <x:f>IF(COUNTIF(P17:U17,"&lt;&gt;OK")&gt;0,"HOLD","READY")</x:f>
        <x:v>HOLD</x:v>
      </x:c>
      <x:c r="W17" s="10" t="str">
        <x:v>SKU conflicts with another supplier row; both rows held for review.</x:v>
      </x:c>
    </x:row>
    <x:row r="18">
      <x:c r="A18" s="10" t="n">
        <x:v>18</x:v>
      </x:c>
      <x:c r="B18" s="10" t="str">
        <x:v>cork-desk-mat</x:v>
      </x:c>
      <x:c r="C18" s="10" t="str">
        <x:v>Cork Desk Mat</x:v>
      </x:c>
      <x:c r="D18" s="10" t="str">
        <x:v>Color</x:v>
      </x:c>
      <x:c r="E18" s="10" t="str">
        <x:v>Natural</x:v>
      </x:c>
      <x:c r="F18" s="10" t="str">
        <x:v>Size</x:v>
      </x:c>
      <x:c r="G18" s="10" t="str">
        <x:v>Large</x:v>
      </x:c>
      <x:c r="H18" s="10" t="str">
        <x:v>NS-MAT-NAT-L</x:v>
      </x:c>
      <x:c r="I18" s="10" t="n">
        <x:v>34</x:v>
      </x:c>
      <x:c r="J18" s="10" t="n">
        <x:v>16</x:v>
      </x:c>
      <x:c r="K18" s="10" t="n">
        <x:v>760</x:v>
      </x:c>
      <x:c r="L18" s="10" t="str">
        <x:v>9123456789028</x:v>
      </x:c>
      <x:c r="M18" s="10"/>
      <x:c r="N18" s="10" t="str">
        <x:v>https://northstar.example/images/mat-natural.jpg</x:v>
      </x:c>
      <x:c r="O18" s="10" t="str">
        <x:v>NEW</x:v>
      </x:c>
      <x:c r="P18" s="10" t="str">
        <x:f>IF(COUNTIF($H$2:$H$19,H18)&gt;1,"DUPLICATE","OK")</x:f>
        <x:v>OK</x:v>
      </x:c>
      <x:c r="Q18" s="10" t="str">
        <x:f>IF(OR(I18="",I18&lt;=0),"REVIEW","OK")</x:f>
        <x:v>OK</x:v>
      </x:c>
      <x:c r="R18" s="10" t="str">
        <x:f>IF(OR(J18="",J18&lt;0),"REVIEW","OK")</x:f>
        <x:v>OK</x:v>
      </x:c>
      <x:c r="S18" s="10" t="str">
        <x:f>IF(OR(K18="",K18&lt;=0),"REVIEW","OK")</x:f>
        <x:v>OK</x:v>
      </x:c>
      <x:c r="T18" s="10" t="str">
        <x:f>IF(LEFT(N18,8)="https://","OK","REVIEW")</x:f>
        <x:v>OK</x:v>
      </x:c>
      <x:c r="U18" s="10" t="str">
        <x:f>IF(M18="","REVIEW","OK")</x:f>
        <x:v>REVIEW</x:v>
      </x:c>
      <x:c r="V18" s="10" t="str">
        <x:f>IF(COUNTIF(P18:U18,"&lt;&gt;OK")&gt;0,"HOLD","READY")</x:f>
        <x:v>HOLD</x:v>
      </x:c>
      <x:c r="W18" s="10" t="str">
        <x:v>Product type/category missing. Hold until mapped.</x:v>
      </x:c>
    </x:row>
    <x:row r="19">
      <x:c r="A19" s="10" t="n">
        <x:v>19</x:v>
      </x:c>
      <x:c r="B19" s="10" t="str">
        <x:v>cork-desk-mat</x:v>
      </x:c>
      <x:c r="C19" s="10" t="str">
        <x:v>Cork Desk Mat</x:v>
      </x:c>
      <x:c r="D19" s="10" t="str">
        <x:v>Color</x:v>
      </x:c>
      <x:c r="E19" s="10" t="str">
        <x:v>Black</x:v>
      </x:c>
      <x:c r="F19" s="10" t="str">
        <x:v>Size</x:v>
      </x:c>
      <x:c r="G19" s="10" t="str">
        <x:v>Large</x:v>
      </x:c>
      <x:c r="H19" s="10" t="str">
        <x:v>NS-STAND-BLK</x:v>
      </x:c>
      <x:c r="I19" s="10" t="n">
        <x:v>34</x:v>
      </x:c>
      <x:c r="J19" s="10" t="n">
        <x:v>14</x:v>
      </x:c>
      <x:c r="K19" s="10" t="n">
        <x:v>760</x:v>
      </x:c>
      <x:c r="L19" s="10" t="str">
        <x:v>9123456789029</x:v>
      </x:c>
      <x:c r="M19" s="10" t="str">
        <x:v>Desk Accessories</x:v>
      </x:c>
      <x:c r="N19" s="10" t="str">
        <x:v>https://northstar.example/images/mat-black.jpg</x:v>
      </x:c>
      <x:c r="O19" s="10" t="str">
        <x:v>NEW</x:v>
      </x:c>
      <x:c r="P19" s="10" t="str">
        <x:f>IF(COUNTIF($H$2:$H$19,H19)&gt;1,"DUPLICATE","OK")</x:f>
        <x:v>DUPLICATE</x:v>
      </x:c>
      <x:c r="Q19" s="10" t="str">
        <x:f>IF(OR(I19="",I19&lt;=0),"REVIEW","OK")</x:f>
        <x:v>OK</x:v>
      </x:c>
      <x:c r="R19" s="10" t="str">
        <x:f>IF(OR(J19="",J19&lt;0),"REVIEW","OK")</x:f>
        <x:v>OK</x:v>
      </x:c>
      <x:c r="S19" s="10" t="str">
        <x:f>IF(OR(K19="",K19&lt;=0),"REVIEW","OK")</x:f>
        <x:v>OK</x:v>
      </x:c>
      <x:c r="T19" s="10" t="str">
        <x:f>IF(LEFT(N19,8)="https://","OK","REVIEW")</x:f>
        <x:v>OK</x:v>
      </x:c>
      <x:c r="U19" s="10" t="str">
        <x:f>IF(M19="","REVIEW","OK")</x:f>
        <x:v>OK</x:v>
      </x:c>
      <x:c r="V19" s="10" t="str">
        <x:f>IF(COUNTIF(P19:U19,"&lt;&gt;OK")&gt;0,"HOLD","READY")</x:f>
        <x:v>HOLD</x:v>
      </x:c>
      <x:c r="W19" s="10" t="str">
        <x:v>Duplicate supplier SKU conflicts with Folding Laptop Stand Black.</x:v>
      </x:c>
    </x:row>
  </x:sheetData>
  <x:conditionalFormatting sqref="V2:V19">
    <x:cfRule type="expression" dxfId="0" priority="1">
      <x:formula>V2="READY"</x:formula>
    </x:cfRule>
    <x:cfRule type="expression" dxfId="1" priority="2">
      <x:formula>V2="HOLD"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74485fbd64b4a2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38" hidden="0" customWidth="1"/>
    <x:col min="5" max="5" width="42" hidden="0" customWidth="1"/>
    <x:col min="6" max="6" width="44" hidden="0" customWidth="1"/>
    <x:col min="7" max="7" width="12" hidden="0" customWidth="1"/>
  </x:cols>
  <x:sheetData>
    <x:row r="1">
      <x:c r="A1" s="5" t="str">
        <x:v>Exception ID</x:v>
      </x:c>
      <x:c r="B1" s="5" t="str">
        <x:v>Source Row(s)</x:v>
      </x:c>
      <x:c r="C1" s="5" t="str">
        <x:v>Issue Type</x:v>
      </x:c>
      <x:c r="D1" s="5" t="str">
        <x:v>Observed Issue</x:v>
      </x:c>
      <x:c r="E1" s="5" t="str">
        <x:v>Impact if Imported</x:v>
      </x:c>
      <x:c r="F1" s="5" t="str">
        <x:v>Required Action</x:v>
      </x:c>
      <x:c r="G1" s="5" t="str">
        <x:v>Status</x:v>
      </x:c>
    </x:row>
    <x:row r="2" ht="46" customHeight="1">
      <x:c r="A2" s="10" t="str">
        <x:v>NS-E01</x:v>
      </x:c>
      <x:c r="B2" s="10" t="str">
        <x:v>9</x:v>
      </x:c>
      <x:c r="C2" s="10" t="str">
        <x:v>Missing price</x:v>
      </x:c>
      <x:c r="D2" s="10" t="str">
        <x:v>Supplier price is 'TBD'.</x:v>
      </x:c>
      <x:c r="E2" s="10" t="str">
        <x:v>Variant could be imported without a valid sell price.</x:v>
      </x:c>
      <x:c r="F2" s="10" t="str">
        <x:v>Request confirmed numeric price before import.</x:v>
      </x:c>
      <x:c r="G2" s="10" t="str">
        <x:v>OPEN</x:v>
      </x:c>
    </x:row>
    <x:row r="3" ht="46" customHeight="1">
      <x:c r="A3" s="10" t="str">
        <x:v>NS-E02</x:v>
      </x:c>
      <x:c r="B3" s="10" t="str">
        <x:v>11</x:v>
      </x:c>
      <x:c r="C3" s="10" t="str">
        <x:v>Negative inventory</x:v>
      </x:c>
      <x:c r="D3" s="10" t="str">
        <x:v>Supplier stock is -4.</x:v>
      </x:c>
      <x:c r="E3" s="10" t="str">
        <x:v>Could create an incorrect inventory state.</x:v>
      </x:c>
      <x:c r="F3" s="10" t="str">
        <x:v>Confirm correct on-hand quantity; do not coerce negative stock.</x:v>
      </x:c>
      <x:c r="G3" s="10" t="str">
        <x:v>OPEN</x:v>
      </x:c>
    </x:row>
    <x:row r="4" ht="46" customHeight="1">
      <x:c r="A4" s="10" t="str">
        <x:v>NS-E03</x:v>
      </x:c>
      <x:c r="B4" s="10" t="str">
        <x:v>14</x:v>
      </x:c>
      <x:c r="C4" s="10" t="str">
        <x:v>Unapproved weight unit</x:v>
      </x:c>
      <x:c r="D4" s="10" t="str">
        <x:v>40cm cable tray is supplied as 1.2 lb.</x:v>
      </x:c>
      <x:c r="E4" s="10" t="str">
        <x:v>Weight would be inconsistent with the grams-based staging standard.</x:v>
      </x:c>
      <x:c r="F4" s="10" t="str">
        <x:v>Confirm conversion rule or request metric weight from supplier.</x:v>
      </x:c>
      <x:c r="G4" s="10" t="str">
        <x:v>OPEN</x:v>
      </x:c>
    </x:row>
    <x:row r="5" ht="46" customHeight="1">
      <x:c r="A5" s="10" t="str">
        <x:v>NS-E04</x:v>
      </x:c>
      <x:c r="B5" s="10" t="str">
        <x:v>16</x:v>
      </x:c>
      <x:c r="C5" s="10" t="str">
        <x:v>Malformed image URL</x:v>
      </x:c>
      <x:c r="D5" s="10" t="str">
        <x:v>Image URL is missing the https:// scheme.</x:v>
      </x:c>
      <x:c r="E5" s="10" t="str">
        <x:v>Image may fail to import or resolve.</x:v>
      </x:c>
      <x:c r="F5" s="10" t="str">
        <x:v>Obtain/confirm valid HTTPS image URL.</x:v>
      </x:c>
      <x:c r="G5" s="10" t="str">
        <x:v>OPEN</x:v>
      </x:c>
    </x:row>
    <x:row r="6" ht="46" customHeight="1">
      <x:c r="A6" s="10" t="str">
        <x:v>NS-E05</x:v>
      </x:c>
      <x:c r="B6" s="10" t="str">
        <x:v>18</x:v>
      </x:c>
      <x:c r="C6" s="10" t="str">
        <x:v>Missing product type</x:v>
      </x:c>
      <x:c r="D6" s="10" t="str">
        <x:v>Cork Desk Mat has no category/type.</x:v>
      </x:c>
      <x:c r="E6" s="10" t="str">
        <x:v>Product may be uncategorized and collections/filters may fail.</x:v>
      </x:c>
      <x:c r="F6" s="10" t="str">
        <x:v>Confirm product type before import.</x:v>
      </x:c>
      <x:c r="G6" s="10" t="str">
        <x:v>OPEN</x:v>
      </x:c>
    </x:row>
    <x:row r="7" ht="46" customHeight="1">
      <x:c r="A7" s="10" t="str">
        <x:v>NS-E06</x:v>
      </x:c>
      <x:c r="B7" s="10" t="str">
        <x:v>17 &amp; 19</x:v>
      </x:c>
      <x:c r="C7" s="10" t="str">
        <x:v>Duplicate SKU</x:v>
      </x:c>
      <x:c r="D7" s="10" t="str">
        <x:v>NS-STAND-BLK appears on two different variants.</x:v>
      </x:c>
      <x:c r="E7" s="10" t="str">
        <x:v>Matching/reconciliation may target the wrong variant.</x:v>
      </x:c>
      <x:c r="F7" s="10" t="str">
        <x:v>Resolve unique SKU ownership before any import.</x:v>
      </x:c>
      <x:c r="G7" s="10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5d3baed80e0d41e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8" hidden="0" customWidth="1"/>
    <x:col min="9" max="9" width="13" hidden="0" customWidth="1"/>
    <x:col min="10" max="10" width="13" hidden="0" customWidth="1"/>
    <x:col min="11" max="11" width="13" hidden="0" customWidth="1"/>
    <x:col min="12" max="12" width="16" hidden="0" customWidth="1"/>
    <x:col min="13" max="13" width="18" hidden="0" customWidth="1"/>
    <x:col min="14" max="14" width="42" hidden="0" customWidth="1"/>
  </x:cols>
  <x:sheetData>
    <x:row r="1">
      <x:c r="A1" s="5" t="str">
        <x:v>Command</x:v>
      </x:c>
      <x:c r="B1" s="5" t="str">
        <x:v>Handle</x:v>
      </x:c>
      <x:c r="C1" s="5" t="str">
        <x:v>Title</x:v>
      </x:c>
      <x:c r="D1" s="5" t="str">
        <x:v>Option1 Name</x:v>
      </x:c>
      <x:c r="E1" s="5" t="str">
        <x:v>Option1 Value</x:v>
      </x:c>
      <x:c r="F1" s="5" t="str">
        <x:v>Option2 Name</x:v>
      </x:c>
      <x:c r="G1" s="5" t="str">
        <x:v>Option2 Value</x:v>
      </x:c>
      <x:c r="H1" s="5" t="str">
        <x:v>Variant SKU</x:v>
      </x:c>
      <x:c r="I1" s="5" t="str">
        <x:v>Variant Price</x:v>
      </x:c>
      <x:c r="J1" s="5" t="str">
        <x:v>Variant Inventory Qty</x:v>
      </x:c>
      <x:c r="K1" s="5" t="str">
        <x:v>Variant Grams</x:v>
      </x:c>
      <x:c r="L1" s="5" t="str">
        <x:v>Variant Barcode</x:v>
      </x:c>
      <x:c r="M1" s="5" t="str">
        <x:v>Product Type</x:v>
      </x:c>
      <x:c r="N1" s="5" t="str">
        <x:v>Image Src</x:v>
      </x:c>
    </x:row>
    <x:row r="2">
      <x:c r="A2" s="10" t="str">
        <x:v>NEW</x:v>
      </x:c>
      <x:c r="B2" s="10" t="str">
        <x:v>modular-desk-organizer</x:v>
      </x:c>
      <x:c r="C2" s="10" t="str">
        <x:v>Modular Desk Organizer</x:v>
      </x:c>
      <x:c r="D2" s="10" t="str">
        <x:v>Color</x:v>
      </x:c>
      <x:c r="E2" s="10" t="str">
        <x:v>Black</x:v>
      </x:c>
      <x:c r="F2" s="10" t="str">
        <x:v>Size</x:v>
      </x:c>
      <x:c r="G2" s="10" t="str">
        <x:v>Standard</x:v>
      </x:c>
      <x:c r="H2" s="10" t="str">
        <x:v>NS-ORG-BLK-STD</x:v>
      </x:c>
      <x:c r="I2" s="10" t="n">
        <x:v>29.5</x:v>
      </x:c>
      <x:c r="J2" s="10" t="n">
        <x:v>42</x:v>
      </x:c>
      <x:c r="K2" s="10" t="n">
        <x:v>820</x:v>
      </x:c>
      <x:c r="L2" s="10" t="str">
        <x:v>9123456789012</x:v>
      </x:c>
      <x:c r="M2" s="10" t="str">
        <x:v>Desk Accessories</x:v>
      </x:c>
      <x:c r="N2" s="10" t="str">
        <x:v>https://northstar.example/images/organizer-black.jpg</x:v>
      </x:c>
    </x:row>
    <x:row r="3">
      <x:c r="A3" s="10" t="str">
        <x:v>NEW</x:v>
      </x:c>
      <x:c r="B3" s="10" t="str">
        <x:v>modular-desk-organizer</x:v>
      </x:c>
      <x:c r="C3" s="10" t="str">
        <x:v>Modular Desk Organizer</x:v>
      </x:c>
      <x:c r="D3" s="10" t="str">
        <x:v>Color</x:v>
      </x:c>
      <x:c r="E3" s="10" t="str">
        <x:v>White</x:v>
      </x:c>
      <x:c r="F3" s="10" t="str">
        <x:v>Size</x:v>
      </x:c>
      <x:c r="G3" s="10" t="str">
        <x:v>Standard</x:v>
      </x:c>
      <x:c r="H3" s="10" t="str">
        <x:v>NS-ORG-WHT-STD</x:v>
      </x:c>
      <x:c r="I3" s="10" t="n">
        <x:v>29.5</x:v>
      </x:c>
      <x:c r="J3" s="10" t="n">
        <x:v>38</x:v>
      </x:c>
      <x:c r="K3" s="10" t="n">
        <x:v>820</x:v>
      </x:c>
      <x:c r="L3" s="10" t="str">
        <x:v>9123456789013</x:v>
      </x:c>
      <x:c r="M3" s="10" t="str">
        <x:v>Desk Accessories</x:v>
      </x:c>
      <x:c r="N3" s="10" t="str">
        <x:v>https://northstar.example/images/organizer-white.jpg</x:v>
      </x:c>
    </x:row>
    <x:row r="4">
      <x:c r="A4" s="10" t="str">
        <x:v>NEW</x:v>
      </x:c>
      <x:c r="B4" s="10" t="str">
        <x:v>canvas-utility-tote</x:v>
      </x:c>
      <x:c r="C4" s="10" t="str">
        <x:v>Canvas Utility Tote</x:v>
      </x:c>
      <x:c r="D4" s="10" t="str">
        <x:v>Color</x:v>
      </x:c>
      <x:c r="E4" s="10" t="str">
        <x:v>Navy</x:v>
      </x:c>
      <x:c r="F4" s="10" t="str">
        <x:v>Size</x:v>
      </x:c>
      <x:c r="G4" s="10" t="str">
        <x:v>Medium</x:v>
      </x:c>
      <x:c r="H4" s="10" t="str">
        <x:v>NS-TOTE-NVY-M</x:v>
      </x:c>
      <x:c r="I4" s="10" t="n">
        <x:v>36</x:v>
      </x:c>
      <x:c r="J4" s="10" t="n">
        <x:v>31</x:v>
      </x:c>
      <x:c r="K4" s="10" t="n">
        <x:v>640</x:v>
      </x:c>
      <x:c r="L4" s="10" t="str">
        <x:v>9123456789014</x:v>
      </x:c>
      <x:c r="M4" s="10" t="str">
        <x:v>Storage &amp; Carry</x:v>
      </x:c>
      <x:c r="N4" s="10" t="str">
        <x:v>https://northstar.example/images/tote-navy-medium.jpg</x:v>
      </x:c>
    </x:row>
    <x:row r="5">
      <x:c r="A5" s="10" t="str">
        <x:v>NEW</x:v>
      </x:c>
      <x:c r="B5" s="10" t="str">
        <x:v>canvas-utility-tote</x:v>
      </x:c>
      <x:c r="C5" s="10" t="str">
        <x:v>Canvas Utility Tote</x:v>
      </x:c>
      <x:c r="D5" s="10" t="str">
        <x:v>Color</x:v>
      </x:c>
      <x:c r="E5" s="10" t="str">
        <x:v>Navy</x:v>
      </x:c>
      <x:c r="F5" s="10" t="str">
        <x:v>Size</x:v>
      </x:c>
      <x:c r="G5" s="10" t="str">
        <x:v>Large</x:v>
      </x:c>
      <x:c r="H5" s="10" t="str">
        <x:v>NS-TOTE-NVY-L</x:v>
      </x:c>
      <x:c r="I5" s="10" t="n">
        <x:v>42</x:v>
      </x:c>
      <x:c r="J5" s="10" t="n">
        <x:v>26</x:v>
      </x:c>
      <x:c r="K5" s="10" t="n">
        <x:v>720</x:v>
      </x:c>
      <x:c r="L5" s="10" t="str">
        <x:v>9123456789015</x:v>
      </x:c>
      <x:c r="M5" s="10" t="str">
        <x:v>Storage &amp; Carry</x:v>
      </x:c>
      <x:c r="N5" s="10" t="str">
        <x:v>https://northstar.example/images/tote-navy-large.jpg</x:v>
      </x:c>
    </x:row>
    <x:row r="6">
      <x:c r="A6" s="10" t="str">
        <x:v>NEW</x:v>
      </x:c>
      <x:c r="B6" s="10" t="str">
        <x:v>canvas-utility-tote</x:v>
      </x:c>
      <x:c r="C6" s="10" t="str">
        <x:v>Canvas Utility Tote</x:v>
      </x:c>
      <x:c r="D6" s="10" t="str">
        <x:v>Color</x:v>
      </x:c>
      <x:c r="E6" s="10" t="str">
        <x:v>Sand</x:v>
      </x:c>
      <x:c r="F6" s="10" t="str">
        <x:v>Size</x:v>
      </x:c>
      <x:c r="G6" s="10" t="str">
        <x:v>Medium</x:v>
      </x:c>
      <x:c r="H6" s="10" t="str">
        <x:v>NS-TOTE-SND-M</x:v>
      </x:c>
      <x:c r="I6" s="10" t="n">
        <x:v>36</x:v>
      </x:c>
      <x:c r="J6" s="10" t="n">
        <x:v>29</x:v>
      </x:c>
      <x:c r="K6" s="10" t="n">
        <x:v>640</x:v>
      </x:c>
      <x:c r="L6" s="10" t="str">
        <x:v>9123456789016</x:v>
      </x:c>
      <x:c r="M6" s="10" t="str">
        <x:v>Storage &amp; Carry</x:v>
      </x:c>
      <x:c r="N6" s="10" t="str">
        <x:v>https://northstar.example/images/tote-sand-medium.jpg</x:v>
      </x:c>
    </x:row>
    <x:row r="7">
      <x:c r="A7" s="10" t="str">
        <x:v>NEW</x:v>
      </x:c>
      <x:c r="B7" s="10" t="str">
        <x:v>canvas-utility-tote</x:v>
      </x:c>
      <x:c r="C7" s="10" t="str">
        <x:v>Canvas Utility Tote</x:v>
      </x:c>
      <x:c r="D7" s="10" t="str">
        <x:v>Color</x:v>
      </x:c>
      <x:c r="E7" s="10" t="str">
        <x:v>Sand</x:v>
      </x:c>
      <x:c r="F7" s="10" t="str">
        <x:v>Size</x:v>
      </x:c>
      <x:c r="G7" s="10" t="str">
        <x:v>Large</x:v>
      </x:c>
      <x:c r="H7" s="10" t="str">
        <x:v>NS-TOTE-SND-L</x:v>
      </x:c>
      <x:c r="I7" s="10" t="n">
        <x:v>42</x:v>
      </x:c>
      <x:c r="J7" s="10" t="n">
        <x:v>25</x:v>
      </x:c>
      <x:c r="K7" s="10" t="n">
        <x:v>720</x:v>
      </x:c>
      <x:c r="L7" s="10" t="str">
        <x:v>9123456789017</x:v>
      </x:c>
      <x:c r="M7" s="10" t="str">
        <x:v>Storage &amp; Carry</x:v>
      </x:c>
      <x:c r="N7" s="10" t="str">
        <x:v>https://northstar.example/images/tote-sand-large.jpg</x:v>
      </x:c>
    </x:row>
    <x:row r="8">
      <x:c r="A8" s="10" t="str">
        <x:v>NEW</x:v>
      </x:c>
      <x:c r="B8" s="10" t="str">
        <x:v>stainless-water-bottle</x:v>
      </x:c>
      <x:c r="C8" s="10" t="str">
        <x:v>Stainless Water Bottle</x:v>
      </x:c>
      <x:c r="D8" s="10" t="str">
        <x:v>Color</x:v>
      </x:c>
      <x:c r="E8" s="10" t="str">
        <x:v>Charcoal</x:v>
      </x:c>
      <x:c r="F8" s="10" t="str">
        <x:v>Size</x:v>
      </x:c>
      <x:c r="G8" s="10" t="str">
        <x:v>600ml</x:v>
      </x:c>
      <x:c r="H8" s="10" t="str">
        <x:v>NS-WB-600-CHR</x:v>
      </x:c>
      <x:c r="I8" s="10" t="n">
        <x:v>24.95</x:v>
      </x:c>
      <x:c r="J8" s="10" t="n">
        <x:v>54</x:v>
      </x:c>
      <x:c r="K8" s="10" t="n">
        <x:v>410</x:v>
      </x:c>
      <x:c r="L8" s="10" t="str">
        <x:v>9123456789018</x:v>
      </x:c>
      <x:c r="M8" s="10" t="str">
        <x:v>Drinkware</x:v>
      </x:c>
      <x:c r="N8" s="10" t="str">
        <x:v>https://northstar.example/images/bottle-charcoal.jpg</x:v>
      </x:c>
    </x:row>
    <x:row r="9">
      <x:c r="A9" s="10" t="str">
        <x:v>NEW</x:v>
      </x:c>
      <x:c r="B9" s="10" t="str">
        <x:v>led-desk-lamp</x:v>
      </x:c>
      <x:c r="C9" s="10" t="str">
        <x:v>LED Desk Lamp</x:v>
      </x:c>
      <x:c r="D9" s="10" t="str">
        <x:v>Color</x:v>
      </x:c>
      <x:c r="E9" s="10" t="str">
        <x:v>Black</x:v>
      </x:c>
      <x:c r="F9" s="10" t="str">
        <x:v>Size</x:v>
      </x:c>
      <x:c r="G9" s="10" t="str">
        <x:v>Standard</x:v>
      </x:c>
      <x:c r="H9" s="10" t="str">
        <x:v>NS-LAMP-BLK</x:v>
      </x:c>
      <x:c r="I9" s="10" t="n">
        <x:v>49.5</x:v>
      </x:c>
      <x:c r="J9" s="10" t="n">
        <x:v>18</x:v>
      </x:c>
      <x:c r="K9" s="10" t="n">
        <x:v>1150</x:v>
      </x:c>
      <x:c r="L9" s="10" t="str">
        <x:v>9123456789020</x:v>
      </x:c>
      <x:c r="M9" s="10" t="str">
        <x:v>Lighting</x:v>
      </x:c>
      <x:c r="N9" s="10" t="str">
        <x:v>https://northstar.example/images/lamp-black.jpg</x:v>
      </x:c>
    </x:row>
    <x:row r="10">
      <x:c r="A10" s="10" t="str">
        <x:v>NEW</x:v>
      </x:c>
      <x:c r="B10" s="10" t="str">
        <x:v>felt-storage-bin</x:v>
      </x:c>
      <x:c r="C10" s="10" t="str">
        <x:v>Felt Storage Bin</x:v>
      </x:c>
      <x:c r="D10" s="10" t="str">
        <x:v>Color</x:v>
      </x:c>
      <x:c r="E10" s="10" t="str">
        <x:v>Gray</x:v>
      </x:c>
      <x:c r="F10" s="10" t="str">
        <x:v>Size</x:v>
      </x:c>
      <x:c r="G10" s="10" t="str">
        <x:v>Medium</x:v>
      </x:c>
      <x:c r="H10" s="10" t="str">
        <x:v>NS-BIN-GRY-M</x:v>
      </x:c>
      <x:c r="I10" s="10" t="n">
        <x:v>21</x:v>
      </x:c>
      <x:c r="J10" s="10" t="n">
        <x:v>63</x:v>
      </x:c>
      <x:c r="K10" s="10" t="n">
        <x:v>530</x:v>
      </x:c>
      <x:c r="L10" s="10" t="str">
        <x:v>9123456789022</x:v>
      </x:c>
      <x:c r="M10" s="10" t="str">
        <x:v>Storage</x:v>
      </x:c>
      <x:c r="N10" s="10" t="str">
        <x:v>https://northstar.example/images/bin-gray.jpg</x:v>
      </x:c>
    </x:row>
    <x:row r="11">
      <x:c r="A11" s="10" t="str">
        <x:v>NEW</x:v>
      </x:c>
      <x:c r="B11" s="10" t="str">
        <x:v>felt-storage-bin</x:v>
      </x:c>
      <x:c r="C11" s="10" t="str">
        <x:v>Felt Storage Bin</x:v>
      </x:c>
      <x:c r="D11" s="10" t="str">
        <x:v>Color</x:v>
      </x:c>
      <x:c r="E11" s="10" t="str">
        <x:v>Oat</x:v>
      </x:c>
      <x:c r="F11" s="10" t="str">
        <x:v>Size</x:v>
      </x:c>
      <x:c r="G11" s="10" t="str">
        <x:v>Medium</x:v>
      </x:c>
      <x:c r="H11" s="10" t="str">
        <x:v>NS-BIN-OAT-M</x:v>
      </x:c>
      <x:c r="I11" s="10" t="n">
        <x:v>21</x:v>
      </x:c>
      <x:c r="J11" s="10" t="n">
        <x:v>58</x:v>
      </x:c>
      <x:c r="K11" s="10" t="n">
        <x:v>530</x:v>
      </x:c>
      <x:c r="L11" s="10" t="str">
        <x:v>9123456789023</x:v>
      </x:c>
      <x:c r="M11" s="10" t="str">
        <x:v>Storage</x:v>
      </x:c>
      <x:c r="N11" s="10" t="str">
        <x:v>https://northstar.example/images/bin-oat.jpg</x:v>
      </x:c>
    </x:row>
    <x:row r="12">
      <x:c r="A12" s="10" t="str">
        <x:v>NEW</x:v>
      </x:c>
      <x:c r="B12" s="10" t="str">
        <x:v>bamboo-cable-tray</x:v>
      </x:c>
      <x:c r="C12" s="10" t="str">
        <x:v>Bamboo Cable Tray</x:v>
      </x:c>
      <x:c r="D12" s="10" t="str">
        <x:v>Color</x:v>
      </x:c>
      <x:c r="E12" s="10" t="str">
        <x:v>Natural</x:v>
      </x:c>
      <x:c r="F12" s="10" t="str">
        <x:v>Size</x:v>
      </x:c>
      <x:c r="G12" s="10" t="str">
        <x:v>60cm</x:v>
      </x:c>
      <x:c r="H12" s="10" t="str">
        <x:v>NS-TRAY-NAT-60</x:v>
      </x:c>
      <x:c r="I12" s="10" t="n">
        <x:v>39</x:v>
      </x:c>
      <x:c r="J12" s="10" t="n">
        <x:v>27</x:v>
      </x:c>
      <x:c r="K12" s="10" t="n">
        <x:v>720</x:v>
      </x:c>
      <x:c r="L12" s="10" t="str">
        <x:v>9123456789025</x:v>
      </x:c>
      <x:c r="M12" s="10" t="str">
        <x:v>Desk Accessories</x:v>
      </x:c>
      <x:c r="N12" s="10" t="str">
        <x:v>https://northstar.example/images/tray-60.jpg</x:v>
      </x:c>
    </x:row>
  </x:sheetData>
  <x:pageMargins left="0.7" right="0.7" top="0.75" bottom="0.75" header="0.3" footer="0.3"/>
  <x:tableParts count="1">
    <x:tablePart xmlns:r="http://schemas.openxmlformats.org/officeDocument/2006/relationships" r:id="Rce59d6e2ce4441a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14" hidden="0" customWidth="1"/>
    <x:col min="8" max="8" width="30" hidden="0" customWidth="1"/>
    <x:col min="9" max="9" width="14" hidden="0" customWidth="1"/>
  </x:cols>
  <x:sheetData>
    <x:row r="1">
      <x:c r="A1" s="46" t="str">
        <x:v>NORTHSTAR SUPPLY | Update Validation</x:v>
      </x:c>
      <x:c r="B1" s="46"/>
      <x:c r="C1" s="46"/>
      <x:c r="D1" s="46"/>
      <x:c r="E1" s="46"/>
      <x:c r="F1" s="46"/>
      <x:c r="G1" s="46"/>
      <x:c r="H1" s="46"/>
      <x:c r="I1" s="46"/>
    </x:row>
    <x:row r="2">
      <x:c r="A2" s="46"/>
      <x:c r="B2" s="46"/>
      <x:c r="C2" s="46"/>
      <x:c r="D2" s="46"/>
      <x:c r="E2" s="46"/>
      <x:c r="F2" s="46"/>
      <x:c r="G2" s="46"/>
      <x:c r="H2" s="46"/>
      <x:c r="I2" s="46"/>
    </x:row>
    <x:row r="3">
      <x:c r="A3" s="18" t="str">
        <x:v>Identifier check, blocked row, correction and final baseline check</x:v>
      </x:c>
      <x:c r="B3" s="18"/>
      <x:c r="C3" s="18"/>
      <x:c r="D3" s="18"/>
      <x:c r="E3" s="18"/>
      <x:c r="F3" s="18"/>
      <x:c r="G3" s="18"/>
      <x:c r="H3" s="18"/>
      <x:c r="I3" s="18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</x:row>
    <x:row r="5">
      <x:c r="A5" s="47" t="str">
        <x:v>BASELINE</x:v>
      </x:c>
      <x:c r="B5" s="47"/>
      <x:c r="C5" s="47"/>
      <x:c r="D5" s="47"/>
      <x:c r="E5" s="47"/>
      <x:c r="F5" s="47"/>
      <x:c r="G5" s="47"/>
      <x:c r="H5" s="47"/>
      <x:c r="I5" s="47"/>
    </x:row>
    <x:row r="6">
      <x:c r="A6" s="37" t="str">
        <x:v>Field</x:v>
      </x:c>
      <x:c r="B6" s="37" t="str">
        <x:v>Baseline</x:v>
      </x:c>
      <x:c r="C6" s="37" t="str">
        <x:v>Planned</x:v>
      </x:c>
      <x:c r="D6" s="37" t="str">
        <x:v>Check</x:v>
      </x:c>
      <x:c r="E6" s="37" t="str">
        <x:v>Notes</x:v>
      </x:c>
      <x:c r="F6" s="10"/>
      <x:c r="G6" s="10"/>
      <x:c r="H6" s="10"/>
      <x:c r="I6" s="10"/>
    </x:row>
    <x:row r="7">
      <x:c r="A7" s="10" t="str">
        <x:v>Command</x:v>
      </x:c>
      <x:c r="B7" s="10" t="str">
        <x:v>UPDATE</x:v>
      </x:c>
      <x:c r="C7" s="10" t="str">
        <x:v>UPDATE</x:v>
      </x:c>
      <x:c r="D7" s="48" t="str">
        <x:v>PASS</x:v>
      </x:c>
      <x:c r="E7" s="10" t="str">
        <x:v>Prepared command retained</x:v>
      </x:c>
      <x:c r="F7" s="10"/>
      <x:c r="G7" s="10"/>
      <x:c r="H7" s="10"/>
      <x:c r="I7" s="10"/>
    </x:row>
    <x:row r="8">
      <x:c r="A8" s="10" t="str">
        <x:v>Variant Identifier</x:v>
      </x:c>
      <x:c r="B8" s="10" t="str">
        <x:v>NS-TOTE-NVY-M</x:v>
      </x:c>
      <x:c r="C8" s="10" t="str">
        <x:v>NS-TOTE-NVY-M</x:v>
      </x:c>
      <x:c r="D8" s="48" t="str">
        <x:v>PASS</x:v>
      </x:c>
      <x:c r="E8" s="10" t="str">
        <x:v>Identifier retained exactly</x:v>
      </x:c>
      <x:c r="F8" s="10"/>
      <x:c r="G8" s="10"/>
      <x:c r="H8" s="10"/>
      <x:c r="I8" s="10"/>
    </x:row>
    <x:row r="9">
      <x:c r="A9" s="10" t="str">
        <x:v>Price</x:v>
      </x:c>
      <x:c r="B9" s="10" t="str">
        <x:v>36.00</x:v>
      </x:c>
      <x:c r="C9" s="10" t="str">
        <x:v>37.50</x:v>
      </x:c>
      <x:c r="D9" s="48" t="str">
        <x:v>PASS</x:v>
      </x:c>
      <x:c r="E9" s="10" t="str">
        <x:v>Planned value change</x:v>
      </x:c>
      <x:c r="F9" s="10"/>
      <x:c r="G9" s="10"/>
      <x:c r="H9" s="10"/>
      <x:c r="I9" s="10"/>
    </x:row>
    <x:row r="10">
      <x:c r="A10" s="10" t="str">
        <x:v>Inventory</x:v>
      </x:c>
      <x:c r="B10" s="10" t="str">
        <x:v>31</x:v>
      </x:c>
      <x:c r="C10" s="10" t="str">
        <x:v>31</x:v>
      </x:c>
      <x:c r="D10" s="48" t="str">
        <x:v>PASS</x:v>
      </x:c>
      <x:c r="E10" s="10" t="str">
        <x:v>No quantity change</x:v>
      </x:c>
      <x:c r="F10" s="10"/>
      <x:c r="G10" s="10"/>
      <x:c r="H10" s="10"/>
      <x:c r="I10" s="10"/>
    </x:row>
    <x:row r="11" ht="24" customHeight="1">
      <x:c r="A11" s="10" t="str">
        <x:v>Handle</x:v>
      </x:c>
      <x:c r="B11" s="10" t="str">
        <x:v>canvas-utility-tote</x:v>
      </x:c>
      <x:c r="C11" s="10" t="str">
        <x:v>canvas-utility-tote</x:v>
      </x:c>
      <x:c r="D11" s="54" t="str">
        <x:v>PASS</x:v>
      </x:c>
      <x:c r="E11" s="10" t="str">
        <x:v>Handle retained exactly</x:v>
      </x:c>
      <x:c r="F11" s="10"/>
      <x:c r="G11" s="10"/>
      <x:c r="H11" s="10"/>
      <x:c r="I11" s="10"/>
    </x:row>
    <x:row r="12">
      <x:c r="A12" s="47" t="str">
        <x:v>VALIDATION FLOW</x:v>
      </x:c>
      <x:c r="B12" s="47"/>
      <x:c r="C12" s="47"/>
      <x:c r="D12" s="47"/>
      <x:c r="E12" s="47"/>
      <x:c r="F12" s="47"/>
      <x:c r="G12" s="47"/>
      <x:c r="H12" s="47"/>
      <x:c r="I12" s="47"/>
    </x:row>
    <x:row r="13">
      <x:c r="A13" s="37" t="str">
        <x:v>Step</x:v>
      </x:c>
      <x:c r="B13" s="37" t="str">
        <x:v>Command</x:v>
      </x:c>
      <x:c r="C13" s="37" t="str">
        <x:v>Variant Identifier</x:v>
      </x:c>
      <x:c r="D13" s="37" t="str">
        <x:v>Prepared SKU</x:v>
      </x:c>
      <x:c r="E13" s="37" t="str">
        <x:v>Expected SKU</x:v>
      </x:c>
      <x:c r="F13" s="37" t="str">
        <x:v>Check</x:v>
      </x:c>
      <x:c r="G13" s="37" t="str">
        <x:v>Decision</x:v>
      </x:c>
      <x:c r="H13" s="37" t="str">
        <x:v>Action</x:v>
      </x:c>
      <x:c r="I13" s="37" t="str">
        <x:v>Outcome</x:v>
      </x:c>
    </x:row>
    <x:row r="14">
      <x:c r="A14" s="10" t="str">
        <x:v>1</x:v>
      </x:c>
      <x:c r="B14" s="10" t="str">
        <x:v>UPDATE</x:v>
      </x:c>
      <x:c r="C14" s="10" t="str">
        <x:v>Variant SKU</x:v>
      </x:c>
      <x:c r="D14" s="10" t="str">
        <x:v>NS-TOTE-NVY-M</x:v>
      </x:c>
      <x:c r="E14" s="10" t="str">
        <x:v>NS-TOTE-NVY-M</x:v>
      </x:c>
      <x:c r="F14" s="10" t="str">
        <x:v>MATCH</x:v>
      </x:c>
      <x:c r="G14" s="10" t="str">
        <x:v>CONTINUE</x:v>
      </x:c>
      <x:c r="H14" s="10" t="str">
        <x:v>None</x:v>
      </x:c>
      <x:c r="I14" s="10" t="str">
        <x:v>PASS</x:v>
      </x:c>
    </x:row>
    <x:row r="15">
      <x:c r="A15" s="10" t="str">
        <x:v>2</x:v>
      </x:c>
      <x:c r="B15" s="10" t="str">
        <x:v>UPDATE</x:v>
      </x:c>
      <x:c r="C15" s="10" t="str">
        <x:v>Variant SKU</x:v>
      </x:c>
      <x:c r="D15" s="10" t="str">
        <x:v>NS-TOTE-NVY-MX</x:v>
      </x:c>
      <x:c r="E15" s="10" t="str">
        <x:v>NS-TOTE-NVY-M</x:v>
      </x:c>
      <x:c r="F15" s="10" t="str">
        <x:v>MISMATCH</x:v>
      </x:c>
      <x:c r="G15" s="49" t="str">
        <x:v>BLOCK</x:v>
      </x:c>
      <x:c r="H15" s="10" t="str">
        <x:v>Compare to approved baseline</x:v>
      </x:c>
      <x:c r="I15" s="10" t="str">
        <x:v>BLOCKED</x:v>
      </x:c>
    </x:row>
    <x:row r="16">
      <x:c r="A16" s="10" t="str">
        <x:v>3</x:v>
      </x:c>
      <x:c r="B16" s="10" t="str">
        <x:v>UPDATE</x:v>
      </x:c>
      <x:c r="C16" s="10" t="str">
        <x:v>Variant SKU</x:v>
      </x:c>
      <x:c r="D16" s="10" t="str">
        <x:v>NS-TOTE-NVY-MX</x:v>
      </x:c>
      <x:c r="E16" s="10" t="str">
        <x:v>NS-TOTE-NVY-M</x:v>
      </x:c>
      <x:c r="F16" s="10" t="str">
        <x:v>MISMATCH</x:v>
      </x:c>
      <x:c r="G16" s="49" t="str">
        <x:v>HOLD</x:v>
      </x:c>
      <x:c r="H16" s="10" t="str">
        <x:v>Restore approved SKU</x:v>
      </x:c>
      <x:c r="I16" s="10" t="str">
        <x:v>BLOCKED</x:v>
      </x:c>
    </x:row>
    <x:row r="17">
      <x:c r="A17" s="10" t="str">
        <x:v>4</x:v>
      </x:c>
      <x:c r="B17" s="10" t="str">
        <x:v>UPDATE</x:v>
      </x:c>
      <x:c r="C17" s="10" t="str">
        <x:v>Variant SKU</x:v>
      </x:c>
      <x:c r="D17" s="10" t="str">
        <x:v>NS-TOTE-NVY-M</x:v>
      </x:c>
      <x:c r="E17" s="10" t="str">
        <x:v>NS-TOTE-NVY-M</x:v>
      </x:c>
      <x:c r="F17" s="10" t="str">
        <x:v>MATCH</x:v>
      </x:c>
      <x:c r="G17" s="10" t="str">
        <x:v>RECHECK</x:v>
      </x:c>
      <x:c r="H17" s="10" t="str">
        <x:v>Confirm planned values</x:v>
      </x:c>
      <x:c r="I17" s="10" t="str">
        <x:v>PASS</x:v>
      </x:c>
    </x:row>
    <x:row r="18">
      <x:c r="A18" s="10" t="str">
        <x:v>5</x:v>
      </x:c>
      <x:c r="B18" s="10" t="str">
        <x:v>UPDATE</x:v>
      </x:c>
      <x:c r="C18" s="10" t="str">
        <x:v>Variant SKU</x:v>
      </x:c>
      <x:c r="D18" s="10" t="str">
        <x:v>NS-TOTE-NVY-M</x:v>
      </x:c>
      <x:c r="E18" s="10" t="str">
        <x:v>NS-TOTE-NVY-M</x:v>
      </x:c>
      <x:c r="F18" s="10" t="str">
        <x:v>MATCH</x:v>
      </x:c>
      <x:c r="G18" s="10" t="str">
        <x:v>PASS</x:v>
      </x:c>
      <x:c r="H18" s="10" t="str">
        <x:v>Final baseline check</x:v>
      </x:c>
      <x:c r="I18" s="10" t="str">
        <x:v>PASS</x:v>
      </x:c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10"/>
    </x:row>
    <x:row r="20">
      <x:c r="A20" s="47" t="str">
        <x:v>FINAL CHECK</x:v>
      </x:c>
      <x:c r="B20" s="47"/>
      <x:c r="C20" s="47"/>
      <x:c r="D20" s="47"/>
      <x:c r="E20" s="47"/>
      <x:c r="F20" s="47"/>
      <x:c r="G20" s="47"/>
      <x:c r="H20" s="47"/>
      <x:c r="I20" s="47"/>
    </x:row>
    <x:row r="21">
      <x:c r="A21" s="37" t="str">
        <x:v>Control</x:v>
      </x:c>
      <x:c r="B21" s="37" t="str">
        <x:v>Expected</x:v>
      </x:c>
      <x:c r="C21" s="37" t="str">
        <x:v>Final</x:v>
      </x:c>
      <x:c r="D21" s="37" t="str">
        <x:v>Result</x:v>
      </x:c>
      <x:c r="E21" s="37" t="str">
        <x:v>Notes</x:v>
      </x:c>
      <x:c r="F21" s="10"/>
      <x:c r="G21" s="10"/>
      <x:c r="H21" s="10"/>
      <x:c r="I21" s="10"/>
    </x:row>
    <x:row r="22">
      <x:c r="A22" s="10" t="str">
        <x:v>Variant Identifier</x:v>
      </x:c>
      <x:c r="B22" s="10" t="str">
        <x:v>NS-TOTE-NVY-M</x:v>
      </x:c>
      <x:c r="C22" s="10" t="str">
        <x:v>NS-TOTE-NVY-M</x:v>
      </x:c>
      <x:c r="D22" s="48" t="str">
        <x:v>PASS</x:v>
      </x:c>
      <x:c r="E22" s="10" t="str">
        <x:v>Exact identifier restored</x:v>
      </x:c>
      <x:c r="F22" s="10"/>
      <x:c r="G22" s="10"/>
      <x:c r="H22" s="10"/>
      <x:c r="I22" s="10"/>
    </x:row>
    <x:row r="23">
      <x:c r="A23" s="10" t="str">
        <x:v>Command</x:v>
      </x:c>
      <x:c r="B23" s="10" t="str">
        <x:v>UPDATE</x:v>
      </x:c>
      <x:c r="C23" s="10" t="str">
        <x:v>UPDATE</x:v>
      </x:c>
      <x:c r="D23" s="48" t="str">
        <x:v>PASS</x:v>
      </x:c>
      <x:c r="E23" s="10" t="str">
        <x:v>Command unchanged</x:v>
      </x:c>
      <x:c r="F23" s="10"/>
      <x:c r="G23" s="10"/>
      <x:c r="H23" s="10"/>
      <x:c r="I23" s="10"/>
    </x:row>
    <x:row r="24">
      <x:c r="A24" s="10" t="str">
        <x:v>Price</x:v>
      </x:c>
      <x:c r="B24" s="10" t="str">
        <x:v>37.50</x:v>
      </x:c>
      <x:c r="C24" s="10" t="str">
        <x:v>37.50</x:v>
      </x:c>
      <x:c r="D24" s="48" t="str">
        <x:v>PASS</x:v>
      </x:c>
      <x:c r="E24" s="10" t="str">
        <x:v>Planned change retained</x:v>
      </x:c>
      <x:c r="F24" s="10"/>
      <x:c r="G24" s="10"/>
      <x:c r="H24" s="10"/>
      <x:c r="I24" s="10"/>
    </x:row>
    <x:row r="25">
      <x:c r="A25" s="10" t="str">
        <x:v>Inventory</x:v>
      </x:c>
      <x:c r="B25" s="10" t="str">
        <x:v>31</x:v>
      </x:c>
      <x:c r="C25" s="10" t="str">
        <x:v>31</x:v>
      </x:c>
      <x:c r="D25" s="48" t="str">
        <x:v>PASS</x:v>
      </x:c>
      <x:c r="E25" s="10" t="str">
        <x:v>Quantity unchanged</x:v>
      </x:c>
      <x:c r="F25" s="10"/>
      <x:c r="G25" s="10"/>
      <x:c r="H25" s="10"/>
      <x:c r="I25" s="10"/>
    </x:row>
    <x:row r="26" ht="24" customHeight="1">
      <x:c r="A26" t="str">
        <x:v>Handle</x:v>
      </x:c>
      <x:c r="B26" t="str">
        <x:v>canvas-utility-tote</x:v>
      </x:c>
      <x:c r="C26" t="str">
        <x:v>canvas-utility-tote</x:v>
      </x:c>
      <x:c r="D26" s="58" t="str">
        <x:v>PASS</x:v>
      </x:c>
      <x:c r="E26" t="str">
        <x:v>Handle retained exactly</x:v>
      </x:c>
    </x:row>
  </x:sheetData>
  <x:mergeCells>
    <x:mergeCell ref="A1:I2"/>
    <x:mergeCell ref="A3:I3"/>
    <x:mergeCell ref="A5:I5"/>
    <x:mergeCell ref="A12:I12"/>
    <x:mergeCell ref="A20:I20"/>
  </x:mergeCells>
  <x:conditionalFormatting sqref="F14:F18">
    <x:cfRule type="expression" dxfId="2" priority="1">
      <x:formula>F14="MATCH"</x:formula>
    </x:cfRule>
    <x:cfRule type="expression" dxfId="3" priority="2">
      <x:formula>F14="MISMATCH"</x:formula>
    </x:cfRule>
  </x:conditionalFormatting>
  <x:pageMargins left="0.7" right="0.7" top="0.75" bottom="0.75" header="0.3" footer="0.3"/>
</x:worksheet>
</file>