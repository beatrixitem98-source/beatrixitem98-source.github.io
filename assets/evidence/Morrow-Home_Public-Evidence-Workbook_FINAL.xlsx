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ef76adf5f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Brief" sheetId="1" r:id="R7dbaf14bddab448c"/>
    <x:sheet xmlns:r="http://schemas.openxmlformats.org/officeDocument/2006/relationships" name="Taxonomy Map" sheetId="2" r:id="Rfa80082af3c24688"/>
    <x:sheet xmlns:r="http://schemas.openxmlformats.org/officeDocument/2006/relationships" name="Collection Map" sheetId="3" r:id="R9318bcac3bd04e95"/>
    <x:sheet xmlns:r="http://schemas.openxmlformats.org/officeDocument/2006/relationships" name="Navigation Map" sheetId="4" r:id="R73c8825fb1324000"/>
    <x:sheet xmlns:r="http://schemas.openxmlformats.org/officeDocument/2006/relationships" name="Product Copy" sheetId="5" r:id="R8e2a8340f6cc4cff"/>
    <x:sheet xmlns:r="http://schemas.openxmlformats.org/officeDocument/2006/relationships" name="SEO &amp; Media" sheetId="6" r:id="R994d5a9fa48d4436"/>
    <x:sheet xmlns:r="http://schemas.openxmlformats.org/officeDocument/2006/relationships" name="Catalogue QA" sheetId="7" r:id="R0855d45f167c4df1"/>
    <x:sheet xmlns:r="http://schemas.openxmlformats.org/officeDocument/2006/relationships" name="Final Catalogue Data" sheetId="8" r:id="Rf60e112c659448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ptos"/>
    </x:font>
    <x:font>
      <x:sz val="10"/>
      <x:color rgb="FF24352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03D3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cadcdebb04619" /><Relationship Type="http://schemas.openxmlformats.org/officeDocument/2006/relationships/theme" Target="/xl/theme/theme1.xml" Id="R705557c3b31642db" /><Relationship Type="http://schemas.openxmlformats.org/officeDocument/2006/relationships/sharedStrings" Target="/xl/sharedStrings.xml" Id="R9c388acf585b4a9e" /><Relationship Type="http://schemas.openxmlformats.org/officeDocument/2006/relationships/worksheet" Target="/xl/worksheets/sheet1.xml" Id="R7dbaf14bddab448c" /><Relationship Type="http://schemas.openxmlformats.org/officeDocument/2006/relationships/worksheet" Target="/xl/worksheets/sheet2.xml" Id="Rfa80082af3c24688" /><Relationship Type="http://schemas.openxmlformats.org/officeDocument/2006/relationships/worksheet" Target="/xl/worksheets/sheet3.xml" Id="R9318bcac3bd04e95" /><Relationship Type="http://schemas.openxmlformats.org/officeDocument/2006/relationships/worksheet" Target="/xl/worksheets/sheet4.xml" Id="R73c8825fb1324000" /><Relationship Type="http://schemas.openxmlformats.org/officeDocument/2006/relationships/worksheet" Target="/xl/worksheets/sheet5.xml" Id="R8e2a8340f6cc4cff" /><Relationship Type="http://schemas.openxmlformats.org/officeDocument/2006/relationships/worksheet" Target="/xl/worksheets/sheet6.xml" Id="R994d5a9fa48d4436" /><Relationship Type="http://schemas.openxmlformats.org/officeDocument/2006/relationships/worksheet" Target="/xl/worksheets/sheet7.xml" Id="R0855d45f167c4df1" /><Relationship Type="http://schemas.openxmlformats.org/officeDocument/2006/relationships/worksheet" Target="/xl/worksheets/sheet8.xml" Id="Rf60e112c659448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9" hidden="0" customWidth="1"/>
    <x:col min="4" max="4" width="20" hidden="0" customWidth="1"/>
    <x:col min="5" max="5" width="22" hidden="0" customWidth="1"/>
    <x:col min="6" max="6" width="26" hidden="0" customWidth="1"/>
    <x:col min="7" max="7" width="10" hidden="0" customWidth="1"/>
    <x:col min="8" max="8" width="75" hidden="0" customWidth="1"/>
  </x:cols>
  <x:sheetData>
    <x:row r="1" ht="34" customHeight="1">
      <x:c r="A1" s="5" t="str">
        <x:v>ID</x:v>
      </x:c>
      <x:c r="B1" s="5" t="str">
        <x:v>Source Title</x:v>
      </x:c>
      <x:c r="C1" s="5" t="str">
        <x:v>Source Type</x:v>
      </x:c>
      <x:c r="D1" s="5" t="str">
        <x:v>Source Room</x:v>
      </x:c>
      <x:c r="E1" s="5" t="str">
        <x:v>Source Material</x:v>
      </x:c>
      <x:c r="F1" s="5" t="str">
        <x:v>Raw Handle</x:v>
      </x:c>
      <x:c r="G1" s="5" t="str">
        <x:v>Price</x:v>
      </x:c>
      <x:c r="H1" s="5" t="str">
        <x:v>Observed Source Issue</x:v>
      </x:c>
    </x:row>
    <x:row r="2" ht="29" customHeight="1">
      <x:c r="A2" s="6" t="str">
        <x:v>MH-001</x:v>
      </x:c>
      <x:c r="B2" s="6" t="str">
        <x:v>Arc lamp</x:v>
      </x:c>
      <x:c r="C2" s="6" t="str">
        <x:v>Lighting</x:v>
      </x:c>
      <x:c r="D2" s="6" t="str">
        <x:v>living</x:v>
      </x:c>
      <x:c r="E2" s="6" t="str">
        <x:v>metal</x:v>
      </x:c>
      <x:c r="F2" s="6" t="str">
        <x:v>arc-lamp</x:v>
      </x:c>
      <x:c r="G2" s="6" t="n">
        <x:v>79</x:v>
      </x:c>
      <x:c r="H2" s="6" t="str">
        <x:v>Title needs normalization; Product type inconsistent; Room label inconsistent or missing; Material naming inconsistent; Handle needs cleanup</x:v>
      </x:c>
    </x:row>
    <x:row r="3" ht="29" customHeight="1">
      <x:c r="A3" s="6" t="str">
        <x:v>MH-002</x:v>
      </x:c>
      <x:c r="B3" s="6" t="str">
        <x:v>Linen Pillow Cover</x:v>
      </x:c>
      <x:c r="C3" s="6" t="str">
        <x:v>Pillow</x:v>
      </x:c>
      <x:c r="D3" s="6" t="str">
        <x:v>Living Room</x:v>
      </x:c>
      <x:c r="E3" s="6" t="str">
        <x:v>linen</x:v>
      </x:c>
      <x:c r="F3" s="6" t="str">
        <x:v>linen-home</x:v>
      </x:c>
      <x:c r="G3" s="6" t="n">
        <x:v>34</x:v>
      </x:c>
      <x:c r="H3" s="6" t="str">
        <x:v>Duplicate source handle (linen-home); Title needs normalization; Product type inconsistent; Material naming inconsistent; Handle needs cleanup</x:v>
      </x:c>
    </x:row>
    <x:row r="4" ht="29" customHeight="1">
      <x:c r="A4" s="6" t="str">
        <x:v>MH-003</x:v>
      </x:c>
      <x:c r="B4" s="6" t="str">
        <x:v>Oak shelf 60</x:v>
      </x:c>
      <x:c r="C4" s="6" t="str">
        <x:v>Shelves</x:v>
      </x:c>
      <x:c r="D4" s="6" t="str">
        <x:v>office</x:v>
      </x:c>
      <x:c r="E4" s="6" t="str">
        <x:v>Oak</x:v>
      </x:c>
      <x:c r="F4" s="6" t="str">
        <x:v>oak-shelf-60</x:v>
      </x:c>
      <x:c r="G4" s="6" t="n">
        <x:v>58</x:v>
      </x:c>
      <x:c r="H4" s="6" t="str">
        <x:v>Title needs normalization; Product type inconsistent; Room label inconsistent or missing; Handle needs cleanup</x:v>
      </x:c>
    </x:row>
    <x:row r="5" ht="29" customHeight="1">
      <x:c r="A5" s="6" t="str">
        <x:v>MH-004</x:v>
      </x:c>
      <x:c r="B5" s="6" t="str">
        <x:v>Storage Basket Large</x:v>
      </x:c>
      <x:c r="C5" s="6" t="str">
        <x:v>Basket / bins</x:v>
      </x:c>
      <x:c r="D5" s="6" t="str">
        <x:v>Entry</x:v>
      </x:c>
      <x:c r="E5" s="6" t="str">
        <x:v>Seagrass</x:v>
      </x:c>
      <x:c r="F5" s="6" t="str">
        <x:v>storage-basket-large</x:v>
      </x:c>
      <x:c r="G5" s="6" t="n">
        <x:v>42</x:v>
      </x:c>
      <x:c r="H5" s="6" t="str">
        <x:v>Title needs normalization; Product type inconsistent; Room label inconsistent or missing; Handle needs cleanup</x:v>
      </x:c>
    </x:row>
    <x:row r="6" ht="29" customHeight="1">
      <x:c r="A6" s="6" t="str">
        <x:v>MH-005</x:v>
      </x:c>
      <x:c r="B6" s="6" t="str">
        <x:v>Cotton Throw</x:v>
      </x:c>
      <x:c r="C6" s="6" t="str">
        <x:v>Blanket</x:v>
      </x:c>
      <x:c r="D6" s="6" t="str">
        <x:v>living</x:v>
      </x:c>
      <x:c r="E6" s="6" t="str">
        <x:v>Cotton</x:v>
      </x:c>
      <x:c r="F6" s="6" t="str">
        <x:v>cotton-throw</x:v>
      </x:c>
      <x:c r="G6" s="6" t="n">
        <x:v>64</x:v>
      </x:c>
      <x:c r="H6" s="6" t="str">
        <x:v>Title needs normalization; Product type inconsistent; Room label inconsistent or missing; Handle needs cleanup</x:v>
      </x:c>
    </x:row>
    <x:row r="7" ht="29" customHeight="1">
      <x:c r="A7" s="6" t="str">
        <x:v>MH-006</x:v>
      </x:c>
      <x:c r="B7" s="6" t="str">
        <x:v>Ceramic Vase Tall</x:v>
      </x:c>
      <x:c r="C7" s="6" t="str">
        <x:v>Decor</x:v>
      </x:c>
      <x:c r="D7" s="6" t="str">
        <x:v>Living Room</x:v>
      </x:c>
      <x:c r="E7" s="6" t="str">
        <x:v>Ceramic</x:v>
      </x:c>
      <x:c r="F7" s="6" t="str">
        <x:v>ceramic-vase-tall</x:v>
      </x:c>
      <x:c r="G7" s="6" t="n">
        <x:v>46</x:v>
      </x:c>
      <x:c r="H7" s="6" t="str">
        <x:v>Title needs normalization; Product type inconsistent; Handle needs cleanup</x:v>
      </x:c>
    </x:row>
    <x:row r="8" ht="29" customHeight="1">
      <x:c r="A8" s="6" t="str">
        <x:v>MH-007</x:v>
      </x:c>
      <x:c r="B8" s="6" t="str">
        <x:v>Bed tray</x:v>
      </x:c>
      <x:c r="C8" s="6" t="str">
        <x:v>Tray</x:v>
      </x:c>
      <x:c r="D8" s="6" t="str">
        <x:v>bed room</x:v>
      </x:c>
      <x:c r="E8" s="6" t="str">
        <x:v>wood</x:v>
      </x:c>
      <x:c r="F8" s="6" t="str">
        <x:v>bedside-tray</x:v>
      </x:c>
      <x:c r="G8" s="6" t="n">
        <x:v>29</x:v>
      </x:c>
      <x:c r="H8" s="6" t="str">
        <x:v>Title needs normalization; Product type inconsistent; Room label inconsistent or missing; Material naming inconsistent; Handle needs cleanup</x:v>
      </x:c>
    </x:row>
    <x:row r="9" ht="29" customHeight="1">
      <x:c r="A9" s="6" t="str">
        <x:v>MH-008</x:v>
      </x:c>
      <x:c r="B9" s="6" t="str">
        <x:v>Desktop Organizer</x:v>
      </x:c>
      <x:c r="C9" s="6" t="str">
        <x:v>Desk Storage</x:v>
      </x:c>
      <x:c r="D9" s="6" t="str">
        <x:v>Workspace</x:v>
      </x:c>
      <x:c r="E9" s="6" t="str">
        <x:v>Powder coated steel</x:v>
      </x:c>
      <x:c r="F9" s="6" t="str">
        <x:v>desk-organizer</x:v>
      </x:c>
      <x:c r="G9" s="6" t="n">
        <x:v>39</x:v>
      </x:c>
      <x:c r="H9" s="6" t="str">
        <x:v>Title needs normalization; Product type inconsistent; Material naming inconsistent</x:v>
      </x:c>
    </x:row>
    <x:row r="10" ht="29" customHeight="1">
      <x:c r="A10" s="6" t="str">
        <x:v>MH-009</x:v>
      </x:c>
      <x:c r="B10" s="6" t="str">
        <x:v>Wool Rug Neutral 160x230</x:v>
      </x:c>
      <x:c r="C10" s="6" t="str">
        <x:v>Rug</x:v>
      </x:c>
      <x:c r="D10" s="6" t="str">
        <x:v>Living Room</x:v>
      </x:c>
      <x:c r="E10" s="6" t="str">
        <x:v>Wool blend</x:v>
      </x:c>
      <x:c r="F10" s="6" t="str">
        <x:v>linen-home</x:v>
      </x:c>
      <x:c r="G10" s="6" t="n">
        <x:v>189</x:v>
      </x:c>
      <x:c r="H10" s="6" t="str">
        <x:v>Duplicate source handle (linen-home); Title needs normalization; Product type inconsistent; Material naming inconsistent; Handle needs cleanup</x:v>
      </x:c>
    </x:row>
    <x:row r="11" ht="29" customHeight="1">
      <x:c r="A11" s="6" t="str">
        <x:v>MH-010</x:v>
      </x:c>
      <x:c r="B11" s="6" t="str">
        <x:v>Linen Curtain 220</x:v>
      </x:c>
      <x:c r="C11" s="6" t="str">
        <x:v>Window</x:v>
      </x:c>
      <x:c r="D11" s="6"/>
      <x:c r="E11" s="6" t="str">
        <x:v>Linen</x:v>
      </x:c>
      <x:c r="F11" s="6" t="str">
        <x:v>linen-curtain-220</x:v>
      </x:c>
      <x:c r="G11" s="6" t="n">
        <x:v>72</x:v>
      </x:c>
      <x:c r="H11" s="6" t="str">
        <x:v>Title needs normalization; Product type inconsistent; Room label inconsistent or missing; Handle needs cleanup</x:v>
      </x:c>
    </x:row>
    <x:row r="12" ht="29" customHeight="1">
      <x:c r="A12" s="6" t="str">
        <x:v>MH-011</x:v>
      </x:c>
      <x:c r="B12" s="6" t="str">
        <x:v>Floor Lamp Black</x:v>
      </x:c>
      <x:c r="C12" s="6" t="str">
        <x:v>Floor Lighting</x:v>
      </x:c>
      <x:c r="D12" s="6" t="str">
        <x:v>Living Room</x:v>
      </x:c>
      <x:c r="E12" s="6" t="str">
        <x:v>metal</x:v>
      </x:c>
      <x:c r="F12" s="6" t="str">
        <x:v>floor-lamp-black</x:v>
      </x:c>
      <x:c r="G12" s="6" t="n">
        <x:v>129</x:v>
      </x:c>
      <x:c r="H12" s="6" t="str">
        <x:v>Title needs normalization; Product type inconsistent; Material naming inconsistent; Handle needs cleanup</x:v>
      </x:c>
    </x:row>
    <x:row r="13" ht="29" customHeight="1">
      <x:c r="A13" s="6" t="str">
        <x:v>MH-012</x:v>
      </x:c>
      <x:c r="B13" s="6" t="str">
        <x:v>Hook Rack 5</x:v>
      </x:c>
      <x:c r="C13" s="6" t="str">
        <x:v>Hooks</x:v>
      </x:c>
      <x:c r="D13" s="6" t="str">
        <x:v>Entryway</x:v>
      </x:c>
      <x:c r="E13" s="6" t="str">
        <x:v>Oak / metal</x:v>
      </x:c>
      <x:c r="F13" s="6" t="str">
        <x:v>hook-rack-5</x:v>
      </x:c>
      <x:c r="G13" s="6" t="n">
        <x:v>52</x:v>
      </x:c>
      <x:c r="H13" s="6" t="str">
        <x:v>Title needs normalization; Product type inconsistent; Room label inconsistent or missing; Material naming inconsistent; Handle needs cleanup</x:v>
      </x:c>
    </x:row>
    <x:row r="14" ht="29" customHeight="1">
      <x:c r="A14" s="6"/>
      <x:c r="B14" s="6"/>
      <x:c r="C14" s="6"/>
      <x:c r="D14" s="6"/>
      <x:c r="E14" s="6"/>
      <x:c r="F14" s="6"/>
      <x:c r="G14" s="6"/>
      <x:c r="H14" s="6"/>
    </x:row>
    <x:row r="15" ht="29" customHeight="1">
      <x:c r="A15" s="6"/>
      <x:c r="B15" s="6"/>
      <x:c r="C15" s="6"/>
      <x:c r="D15" s="6"/>
      <x:c r="E15" s="6"/>
      <x:c r="F15" s="6"/>
      <x:c r="G15" s="6"/>
      <x:c r="H15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4" hidden="0" customWidth="1"/>
    <x:col min="5" max="5" width="18" hidden="0" customWidth="1"/>
    <x:col min="6" max="6" width="25" hidden="0" customWidth="1"/>
    <x:col min="7" max="7" width="23" hidden="0" customWidth="1"/>
    <x:col min="8" max="8" width="40" hidden="0" customWidth="1"/>
    <x:col min="9" max="9" width="53" hidden="0" customWidth="1"/>
    <x:col min="10" max="10" width="16" hidden="0" customWidth="1"/>
  </x:cols>
  <x:sheetData>
    <x:row r="1" ht="34" customHeight="1">
      <x:c r="A1" s="5" t="str">
        <x:v>ID</x:v>
      </x:c>
      <x:c r="B1" s="5" t="str">
        <x:v>Clean Title</x:v>
      </x:c>
      <x:c r="C1" s="5" t="str">
        <x:v>Source Type</x:v>
      </x:c>
      <x:c r="D1" s="5" t="str">
        <x:v>Product Type</x:v>
      </x:c>
      <x:c r="E1" s="5" t="str">
        <x:v>Source Room</x:v>
      </x:c>
      <x:c r="F1" s="5" t="str">
        <x:v>Primary Room</x:v>
      </x:c>
      <x:c r="G1" s="5" t="str">
        <x:v>Source Material</x:v>
      </x:c>
      <x:c r="H1" s="5" t="str">
        <x:v>Brief Attributes (source title)</x:v>
      </x:c>
      <x:c r="I1" s="5" t="str">
        <x:v>Room Basis</x:v>
      </x:c>
      <x:c r="J1" s="5" t="str">
        <x:v>Taxonomy QA</x:v>
      </x:c>
    </x:row>
    <x:row r="2" ht="29" customHeight="1">
      <x:c r="A2" s="6" t="str">
        <x:v>MH-001</x:v>
      </x:c>
      <x:c r="B2" s="6" t="str">
        <x:v>Arc Lamp</x:v>
      </x:c>
      <x:c r="C2" s="6" t="str">
        <x:v>Lighting</x:v>
      </x:c>
      <x:c r="D2" s="6" t="str">
        <x:v>Lamp</x:v>
      </x:c>
      <x:c r="E2" s="6" t="str">
        <x:v>living</x:v>
      </x:c>
      <x:c r="F2" s="6" t="str">
        <x:v>Living Room</x:v>
      </x:c>
      <x:c r="G2" s="6" t="str">
        <x:v>metal</x:v>
      </x:c>
      <x:c r="H2" s="6" t="str">
        <x:v>Arc</x:v>
      </x:c>
      <x:c r="I2" s="6" t="str">
        <x:v>Normalized from Source Room</x:v>
      </x:c>
      <x:c r="J2" s="6" t="str">
        <x:f>IF(AND(A2='Source Brief'!A2,B2&lt;&gt;"",D2&lt;&gt;"",COUNTIF('Collection Map'!$A$2:$A$5,F2)=1,G2='Source Brief'!E2,I2&lt;&gt;""),"PASS","REVIEW")</x:f>
        <x:v>PASS</x:v>
      </x:c>
    </x:row>
    <x:row r="3" ht="29" customHeight="1">
      <x:c r="A3" s="6" t="str">
        <x:v>MH-002</x:v>
      </x:c>
      <x:c r="B3" s="6" t="str">
        <x:v>Linen Pillow Cover</x:v>
      </x:c>
      <x:c r="C3" s="6" t="str">
        <x:v>Pillow</x:v>
      </x:c>
      <x:c r="D3" s="6" t="str">
        <x:v>Pillow Cover</x:v>
      </x:c>
      <x:c r="E3" s="6" t="str">
        <x:v>Living Room</x:v>
      </x:c>
      <x:c r="F3" s="6" t="str">
        <x:v>Living Room</x:v>
      </x:c>
      <x:c r="G3" s="6" t="str">
        <x:v>linen</x:v>
      </x:c>
      <x:c r="H3" s="6" t="str"/>
      <x:c r="I3" s="6" t="str">
        <x:v>Normalized from Source Room</x:v>
      </x:c>
      <x:c r="J3" s="6" t="str">
        <x:f>IF(AND(A3='Source Brief'!A3,B3&lt;&gt;"",D3&lt;&gt;"",COUNTIF('Collection Map'!$A$2:$A$5,F3)=1,G3='Source Brief'!E3,I3&lt;&gt;""),"PASS","REVIEW")</x:f>
        <x:v>PASS</x:v>
      </x:c>
    </x:row>
    <x:row r="4" ht="29" customHeight="1">
      <x:c r="A4" s="6" t="str">
        <x:v>MH-003</x:v>
      </x:c>
      <x:c r="B4" s="6" t="str">
        <x:v>Oak Shelf, 60</x:v>
      </x:c>
      <x:c r="C4" s="6" t="str">
        <x:v>Shelves</x:v>
      </x:c>
      <x:c r="D4" s="6" t="str">
        <x:v>Shelf</x:v>
      </x:c>
      <x:c r="E4" s="6" t="str">
        <x:v>office</x:v>
      </x:c>
      <x:c r="F4" s="6" t="str">
        <x:v>Workspace</x:v>
      </x:c>
      <x:c r="G4" s="6" t="str">
        <x:v>Oak</x:v>
      </x:c>
      <x:c r="H4" s="6" t="str">
        <x:v>60 (unit unspecified)</x:v>
      </x:c>
      <x:c r="I4" s="6" t="str">
        <x:v>Normalized from Source Room</x:v>
      </x:c>
      <x:c r="J4" s="6" t="str">
        <x:f>IF(AND(A4='Source Brief'!A4,B4&lt;&gt;"",D4&lt;&gt;"",COUNTIF('Collection Map'!$A$2:$A$5,F4)=1,G4='Source Brief'!E4,I4&lt;&gt;""),"PASS","REVIEW")</x:f>
        <x:v>PASS</x:v>
      </x:c>
    </x:row>
    <x:row r="5" ht="29" customHeight="1">
      <x:c r="A5" s="6" t="str">
        <x:v>MH-004</x:v>
      </x:c>
      <x:c r="B5" s="6" t="str">
        <x:v>Large Seagrass Storage Basket</x:v>
      </x:c>
      <x:c r="C5" s="6" t="str">
        <x:v>Basket / bins</x:v>
      </x:c>
      <x:c r="D5" s="6" t="str">
        <x:v>Storage Basket</x:v>
      </x:c>
      <x:c r="E5" s="6" t="str">
        <x:v>Entry</x:v>
      </x:c>
      <x:c r="F5" s="6" t="str">
        <x:v>Storage &amp; Entryway</x:v>
      </x:c>
      <x:c r="G5" s="6" t="str">
        <x:v>Seagrass</x:v>
      </x:c>
      <x:c r="H5" s="6" t="str">
        <x:v>Large</x:v>
      </x:c>
      <x:c r="I5" s="6" t="str">
        <x:v>Normalized from Source Room</x:v>
      </x:c>
      <x:c r="J5" s="6" t="str">
        <x:f>IF(AND(A5='Source Brief'!A5,B5&lt;&gt;"",D5&lt;&gt;"",COUNTIF('Collection Map'!$A$2:$A$5,F5)=1,G5='Source Brief'!E5,I5&lt;&gt;""),"PASS","REVIEW")</x:f>
        <x:v>PASS</x:v>
      </x:c>
    </x:row>
    <x:row r="6" ht="29" customHeight="1">
      <x:c r="A6" s="6" t="str">
        <x:v>MH-005</x:v>
      </x:c>
      <x:c r="B6" s="6" t="str">
        <x:v>Cotton Throw Blanket</x:v>
      </x:c>
      <x:c r="C6" s="6" t="str">
        <x:v>Blanket</x:v>
      </x:c>
      <x:c r="D6" s="6" t="str">
        <x:v>Throw Blanket</x:v>
      </x:c>
      <x:c r="E6" s="6" t="str">
        <x:v>living</x:v>
      </x:c>
      <x:c r="F6" s="6" t="str">
        <x:v>Living Room</x:v>
      </x:c>
      <x:c r="G6" s="6" t="str">
        <x:v>Cotton</x:v>
      </x:c>
      <x:c r="H6" s="6" t="str"/>
      <x:c r="I6" s="6" t="str">
        <x:v>Normalized from Source Room</x:v>
      </x:c>
      <x:c r="J6" s="6" t="str">
        <x:f>IF(AND(A6='Source Brief'!A6,B6&lt;&gt;"",D6&lt;&gt;"",COUNTIF('Collection Map'!$A$2:$A$5,F6)=1,G6='Source Brief'!E6,I6&lt;&gt;""),"PASS","REVIEW")</x:f>
        <x:v>PASS</x:v>
      </x:c>
    </x:row>
    <x:row r="7" ht="29" customHeight="1">
      <x:c r="A7" s="6" t="str">
        <x:v>MH-006</x:v>
      </x:c>
      <x:c r="B7" s="6" t="str">
        <x:v>Tall Ceramic Vase</x:v>
      </x:c>
      <x:c r="C7" s="6" t="str">
        <x:v>Decor</x:v>
      </x:c>
      <x:c r="D7" s="6" t="str">
        <x:v>Vase</x:v>
      </x:c>
      <x:c r="E7" s="6" t="str">
        <x:v>Living Room</x:v>
      </x:c>
      <x:c r="F7" s="6" t="str">
        <x:v>Living Room</x:v>
      </x:c>
      <x:c r="G7" s="6" t="str">
        <x:v>Ceramic</x:v>
      </x:c>
      <x:c r="H7" s="6" t="str">
        <x:v>Tall</x:v>
      </x:c>
      <x:c r="I7" s="6" t="str">
        <x:v>Normalized from Source Room</x:v>
      </x:c>
      <x:c r="J7" s="6" t="str">
        <x:f>IF(AND(A7='Source Brief'!A7,B7&lt;&gt;"",D7&lt;&gt;"",COUNTIF('Collection Map'!$A$2:$A$5,F7)=1,G7='Source Brief'!E7,I7&lt;&gt;""),"PASS","REVIEW")</x:f>
        <x:v>PASS</x:v>
      </x:c>
    </x:row>
    <x:row r="8" ht="29" customHeight="1">
      <x:c r="A8" s="6" t="str">
        <x:v>MH-007</x:v>
      </x:c>
      <x:c r="B8" s="6" t="str">
        <x:v>Wood Bedside Tray</x:v>
      </x:c>
      <x:c r="C8" s="6" t="str">
        <x:v>Tray</x:v>
      </x:c>
      <x:c r="D8" s="6" t="str">
        <x:v>Tray</x:v>
      </x:c>
      <x:c r="E8" s="6" t="str">
        <x:v>bed room</x:v>
      </x:c>
      <x:c r="F8" s="6" t="str">
        <x:v>Bedroom</x:v>
      </x:c>
      <x:c r="G8" s="6" t="str">
        <x:v>wood</x:v>
      </x:c>
      <x:c r="H8" s="6" t="str">
        <x:v>Bedside (raw handle)</x:v>
      </x:c>
      <x:c r="I8" s="6" t="str">
        <x:v>Normalized from Source Room</x:v>
      </x:c>
      <x:c r="J8" s="6" t="str">
        <x:f>IF(AND(A8='Source Brief'!A8,B8&lt;&gt;"",D8&lt;&gt;"",COUNTIF('Collection Map'!$A$2:$A$5,F8)=1,G8='Source Brief'!E8,I8&lt;&gt;""),"PASS","REVIEW")</x:f>
        <x:v>PASS</x:v>
      </x:c>
    </x:row>
    <x:row r="9" ht="29" customHeight="1">
      <x:c r="A9" s="6" t="str">
        <x:v>MH-008</x:v>
      </x:c>
      <x:c r="B9" s="6" t="str">
        <x:v>Powder-Coated Steel Desk Organizer</x:v>
      </x:c>
      <x:c r="C9" s="6" t="str">
        <x:v>Desk Storage</x:v>
      </x:c>
      <x:c r="D9" s="6" t="str">
        <x:v>Desk Organizer</x:v>
      </x:c>
      <x:c r="E9" s="6" t="str">
        <x:v>Workspace</x:v>
      </x:c>
      <x:c r="F9" s="6" t="str">
        <x:v>Workspace</x:v>
      </x:c>
      <x:c r="G9" s="6" t="str">
        <x:v>Powder coated steel</x:v>
      </x:c>
      <x:c r="H9" s="6" t="str"/>
      <x:c r="I9" s="6" t="str">
        <x:v>Normalized from Source Room</x:v>
      </x:c>
      <x:c r="J9" s="6" t="str">
        <x:f>IF(AND(A9='Source Brief'!A9,B9&lt;&gt;"",D9&lt;&gt;"",COUNTIF('Collection Map'!$A$2:$A$5,F9)=1,G9='Source Brief'!E9,I9&lt;&gt;""),"PASS","REVIEW")</x:f>
        <x:v>PASS</x:v>
      </x:c>
    </x:row>
    <x:row r="10" ht="29" customHeight="1">
      <x:c r="A10" s="6" t="str">
        <x:v>MH-009</x:v>
      </x:c>
      <x:c r="B10" s="6" t="str">
        <x:v>Wool-Blend Rug, 160 × 230</x:v>
      </x:c>
      <x:c r="C10" s="6" t="str">
        <x:v>Rug</x:v>
      </x:c>
      <x:c r="D10" s="6" t="str">
        <x:v>Area Rug</x:v>
      </x:c>
      <x:c r="E10" s="6" t="str">
        <x:v>Living Room</x:v>
      </x:c>
      <x:c r="F10" s="6" t="str">
        <x:v>Living Room</x:v>
      </x:c>
      <x:c r="G10" s="6" t="str">
        <x:v>Wool blend</x:v>
      </x:c>
      <x:c r="H10" s="6" t="str">
        <x:v>Neutral; 160 × 230 (unit unspecified)</x:v>
      </x:c>
      <x:c r="I10" s="6" t="str">
        <x:v>Normalized from Source Room</x:v>
      </x:c>
      <x:c r="J10" s="6" t="str">
        <x:f>IF(AND(A10='Source Brief'!A10,B10&lt;&gt;"",D10&lt;&gt;"",COUNTIF('Collection Map'!$A$2:$A$5,F10)=1,G10='Source Brief'!E10,I10&lt;&gt;""),"PASS","REVIEW")</x:f>
        <x:v>PASS</x:v>
      </x:c>
    </x:row>
    <x:row r="11" ht="29" customHeight="1">
      <x:c r="A11" s="6" t="str">
        <x:v>MH-010</x:v>
      </x:c>
      <x:c r="B11" s="6" t="str">
        <x:v>Linen Curtain, 220</x:v>
      </x:c>
      <x:c r="C11" s="6" t="str">
        <x:v>Window</x:v>
      </x:c>
      <x:c r="D11" s="6" t="str">
        <x:v>Curtain</x:v>
      </x:c>
      <x:c r="E11" s="6" t="str"/>
      <x:c r="F11" s="6" t="str">
        <x:v>Bedroom</x:v>
      </x:c>
      <x:c r="G11" s="6" t="str">
        <x:v>Linen</x:v>
      </x:c>
      <x:c r="H11" s="6" t="str">
        <x:v>220 (unit unspecified)</x:v>
      </x:c>
      <x:c r="I11" s="6" t="str">
        <x:v>Project merchandising decision: assigned to Bedroom</x:v>
      </x:c>
      <x:c r="J11" s="6" t="str">
        <x:f>IF(AND(A11='Source Brief'!A11,B11&lt;&gt;"",D11&lt;&gt;"",COUNTIF('Collection Map'!$A$2:$A$5,F11)=1,G11='Source Brief'!E11,I11&lt;&gt;""),"PASS","REVIEW")</x:f>
        <x:v>PASS</x:v>
      </x:c>
    </x:row>
    <x:row r="12" ht="29" customHeight="1">
      <x:c r="A12" s="6" t="str">
        <x:v>MH-011</x:v>
      </x:c>
      <x:c r="B12" s="6" t="str">
        <x:v>Metal Floor Lamp</x:v>
      </x:c>
      <x:c r="C12" s="6" t="str">
        <x:v>Floor Lighting</x:v>
      </x:c>
      <x:c r="D12" s="6" t="str">
        <x:v>Floor Lamp</x:v>
      </x:c>
      <x:c r="E12" s="6" t="str">
        <x:v>Living Room</x:v>
      </x:c>
      <x:c r="F12" s="6" t="str">
        <x:v>Living Room</x:v>
      </x:c>
      <x:c r="G12" s="6" t="str">
        <x:v>metal</x:v>
      </x:c>
      <x:c r="H12" s="6" t="str">
        <x:v>Black</x:v>
      </x:c>
      <x:c r="I12" s="6" t="str">
        <x:v>Normalized from Source Room</x:v>
      </x:c>
      <x:c r="J12" s="6" t="str">
        <x:f>IF(AND(A12='Source Brief'!A12,B12&lt;&gt;"",D12&lt;&gt;"",COUNTIF('Collection Map'!$A$2:$A$5,F12)=1,G12='Source Brief'!E12,I12&lt;&gt;""),"PASS","REVIEW")</x:f>
        <x:v>PASS</x:v>
      </x:c>
    </x:row>
    <x:row r="13" ht="29" customHeight="1">
      <x:c r="A13" s="6" t="str">
        <x:v>MH-012</x:v>
      </x:c>
      <x:c r="B13" s="6" t="str">
        <x:v>Oak and Metal Hook Rack, 5</x:v>
      </x:c>
      <x:c r="C13" s="6" t="str">
        <x:v>Hooks</x:v>
      </x:c>
      <x:c r="D13" s="6" t="str">
        <x:v>Hook Rack</x:v>
      </x:c>
      <x:c r="E13" s="6" t="str">
        <x:v>Entryway</x:v>
      </x:c>
      <x:c r="F13" s="6" t="str">
        <x:v>Storage &amp; Entryway</x:v>
      </x:c>
      <x:c r="G13" s="6" t="str">
        <x:v>Oak / metal</x:v>
      </x:c>
      <x:c r="H13" s="6" t="str">
        <x:v>5 (meaning unspecified)</x:v>
      </x:c>
      <x:c r="I13" s="6" t="str">
        <x:v>Normalized from Source Room</x:v>
      </x:c>
      <x:c r="J13" s="6" t="str">
        <x:f>IF(AND(A13='Source Brief'!A13,B13&lt;&gt;"",D13&lt;&gt;"",COUNTIF('Collection Map'!$A$2:$A$5,F13)=1,G13='Source Brief'!E13,I13&lt;&gt;""),"PASS","REVIEW")</x:f>
        <x:v>PASS</x:v>
      </x:c>
    </x:row>
    <x:row r="14" ht="29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 ht="29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105" hidden="0" customWidth="1"/>
    <x:col min="4" max="4" width="12" hidden="0" customWidth="1"/>
    <x:col min="5" max="5" width="18" hidden="0" customWidth="1"/>
    <x:col min="6" max="6" width="15" hidden="0" customWidth="1"/>
  </x:cols>
  <x:sheetData>
    <x:row r="1" ht="34" customHeight="1">
      <x:c r="A1" s="5" t="str">
        <x:v>Collection</x:v>
      </x:c>
      <x:c r="B1" s="5" t="str">
        <x:v>Rule / Intent</x:v>
      </x:c>
      <x:c r="C1" s="5" t="str">
        <x:v>Assigned Products</x:v>
      </x:c>
      <x:c r="D1" s="5" t="str">
        <x:v>Count</x:v>
      </x:c>
      <x:c r="E1" s="5" t="str">
        <x:v>Expected Count</x:v>
      </x:c>
      <x:c r="F1" s="5" t="str">
        <x:v>QA</x:v>
      </x:c>
    </x:row>
    <x:row r="2" ht="29" customHeight="1">
      <x:c r="A2" s="6" t="str">
        <x:v>Living Room</x:v>
      </x:c>
      <x:c r="B2" s="6" t="str">
        <x:v>Primary Room = Living Room</x:v>
      </x:c>
      <x:c r="C2" s="6" t="str">
        <x:v>Arc Lamp; Linen Pillow Cover; Cotton Throw Blanket; Tall Ceramic Vase; Wool-Blend Rug, 160 × 230; Metal Floor Lamp</x:v>
      </x:c>
      <x:c r="D2" s="6" t="n">
        <x:f>COUNTIF('Taxonomy Map'!$F$2:$F$13,A2)</x:f>
        <x:v>6</x:v>
      </x:c>
      <x:c r="E2" s="6" t="n">
        <x:v>6</x:v>
      </x:c>
      <x:c r="F2" s="6" t="str">
        <x:f>IF(AND(D2=E2,D2=COUNTIF('Product Copy'!$E$2:$E$13,A2)),"PASS","REVIEW")</x:f>
        <x:v>PASS</x:v>
      </x:c>
    </x:row>
    <x:row r="3" ht="29" customHeight="1">
      <x:c r="A3" s="6" t="str">
        <x:v>Bedroom</x:v>
      </x:c>
      <x:c r="B3" s="6" t="str">
        <x:v>Primary Room = Bedroom</x:v>
      </x:c>
      <x:c r="C3" s="6" t="str">
        <x:v>Wood Bedside Tray; Linen Curtain, 220</x:v>
      </x:c>
      <x:c r="D3" s="6" t="n">
        <x:f>COUNTIF('Taxonomy Map'!$F$2:$F$13,A3)</x:f>
        <x:v>2</x:v>
      </x:c>
      <x:c r="E3" s="6" t="n">
        <x:v>2</x:v>
      </x:c>
      <x:c r="F3" s="6" t="str">
        <x:f>IF(AND(D3=E3,D3=COUNTIF('Product Copy'!$E$2:$E$13,A3)),"PASS","REVIEW")</x:f>
        <x:v>PASS</x:v>
      </x:c>
    </x:row>
    <x:row r="4" ht="29" customHeight="1">
      <x:c r="A4" s="6" t="str">
        <x:v>Workspace</x:v>
      </x:c>
      <x:c r="B4" s="6" t="str">
        <x:v>Primary Room = Workspace</x:v>
      </x:c>
      <x:c r="C4" s="6" t="str">
        <x:v>Oak Shelf, 60; Powder-Coated Steel Desk Organizer</x:v>
      </x:c>
      <x:c r="D4" s="6" t="n">
        <x:f>COUNTIF('Taxonomy Map'!$F$2:$F$13,A4)</x:f>
        <x:v>2</x:v>
      </x:c>
      <x:c r="E4" s="6" t="n">
        <x:v>2</x:v>
      </x:c>
      <x:c r="F4" s="6" t="str">
        <x:f>IF(AND(D4=E4,D4=COUNTIF('Product Copy'!$E$2:$E$13,A4)),"PASS","REVIEW")</x:f>
        <x:v>PASS</x:v>
      </x:c>
    </x:row>
    <x:row r="5" ht="29" customHeight="1">
      <x:c r="A5" s="6" t="str">
        <x:v>Storage &amp; Entryway</x:v>
      </x:c>
      <x:c r="B5" s="6" t="str">
        <x:v>Primary Room = Storage &amp; Entryway</x:v>
      </x:c>
      <x:c r="C5" s="6" t="str">
        <x:v>Large Seagrass Storage Basket; Oak and Metal Hook Rack, 5</x:v>
      </x:c>
      <x:c r="D5" s="6" t="n">
        <x:f>COUNTIF('Taxonomy Map'!$F$2:$F$13,A5)</x:f>
        <x:v>2</x:v>
      </x:c>
      <x:c r="E5" s="6" t="n">
        <x:v>2</x:v>
      </x:c>
      <x:c r="F5" s="6" t="str">
        <x:f>IF(AND(D5=E5,D5=COUNTIF('Product Copy'!$E$2:$E$13,A5)),"PASS","REVIEW")</x:f>
        <x:v>PASS</x:v>
      </x:c>
    </x:row>
    <x:row r="6" ht="29" customHeight="1">
      <x:c r="A6" s="6"/>
      <x:c r="B6" s="6"/>
      <x:c r="C6" s="6"/>
      <x:c r="D6" s="6"/>
      <x:c r="E6" s="6"/>
      <x:c r="F6" s="6"/>
    </x:row>
    <x:row r="7" ht="29" customHeight="1">
      <x:c r="A7" s="6"/>
      <x:c r="B7" s="6"/>
      <x:c r="C7" s="6"/>
      <x:c r="D7" s="6"/>
      <x:c r="E7" s="6"/>
      <x:c r="F7" s="6"/>
    </x:row>
    <x:row r="8" ht="29" customHeight="1">
      <x:c r="A8" s="6"/>
      <x:c r="B8" s="6"/>
      <x:c r="C8" s="6"/>
      <x:c r="D8" s="6"/>
      <x:c r="E8" s="6"/>
      <x:c r="F8" s="6"/>
    </x:row>
    <x:row r="9" ht="29" customHeight="1">
      <x:c r="A9" s="6"/>
      <x:c r="B9" s="6"/>
      <x:c r="C9" s="6"/>
      <x:c r="D9" s="6"/>
      <x:c r="E9" s="6"/>
      <x:c r="F9" s="6"/>
    </x:row>
    <x:row r="10" ht="29" customHeight="1">
      <x:c r="A10" s="6"/>
      <x:c r="B10" s="6"/>
      <x:c r="C10" s="6"/>
      <x:c r="D10" s="6"/>
      <x:c r="E10" s="6"/>
      <x:c r="F10" s="6"/>
    </x:row>
    <x:row r="11" ht="29" customHeight="1">
      <x:c r="A11" s="6"/>
      <x:c r="B11" s="6"/>
      <x:c r="C11" s="6"/>
      <x:c r="D11" s="6"/>
      <x:c r="E11" s="6"/>
      <x:c r="F11" s="6"/>
    </x:row>
    <x:row r="12" ht="29" customHeight="1">
      <x:c r="A12" s="6"/>
      <x:c r="B12" s="6"/>
      <x:c r="C12" s="6"/>
      <x:c r="D12" s="6"/>
      <x:c r="E12" s="6"/>
      <x:c r="F12" s="6"/>
    </x:row>
    <x:row r="13" ht="29" customHeight="1">
      <x:c r="A13" s="6"/>
      <x:c r="B13" s="6"/>
      <x:c r="C13" s="6"/>
      <x:c r="D13" s="6"/>
      <x:c r="E13" s="6"/>
      <x:c r="F13" s="6"/>
    </x:row>
    <x:row r="14" ht="29" customHeight="1">
      <x:c r="A14" s="6"/>
      <x:c r="B14" s="6"/>
      <x:c r="C14" s="6"/>
      <x:c r="D14" s="6"/>
      <x:c r="E14" s="6"/>
      <x:c r="F14" s="6"/>
    </x:row>
    <x:row r="15" ht="29" customHeight="1">
      <x:c r="A15" s="6"/>
      <x:c r="B15" s="6"/>
      <x:c r="C15" s="6"/>
      <x:c r="D15" s="6"/>
      <x:c r="E15" s="6"/>
      <x:c r="F15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34" hidden="0" customWidth="1"/>
    <x:col min="4" max="4" width="34" hidden="0" customWidth="1"/>
    <x:col min="5" max="5" width="34" hidden="0" customWidth="1"/>
    <x:col min="6" max="6" width="35" hidden="0" customWidth="1"/>
    <x:col min="7" max="7" width="19" hidden="0" customWidth="1"/>
    <x:col min="8" max="8" width="19" hidden="0" customWidth="1"/>
  </x:cols>
  <x:sheetData>
    <x:row r="1" ht="34" customHeight="1">
      <x:c r="A1" s="5" t="str">
        <x:v>Level</x:v>
      </x:c>
      <x:c r="B1" s="5" t="str">
        <x:v>Menu Label</x:v>
      </x:c>
      <x:c r="C1" s="5" t="str">
        <x:v>Pre-Check Target</x:v>
      </x:c>
      <x:c r="D1" s="5" t="str">
        <x:v>Expected Target</x:v>
      </x:c>
      <x:c r="E1" s="5" t="str">
        <x:v>Final Target</x:v>
      </x:c>
      <x:c r="F1" s="5" t="str">
        <x:v>Purpose</x:v>
      </x:c>
      <x:c r="G1" s="5" t="str">
        <x:v>Pre-Check</x:v>
      </x:c>
      <x:c r="H1" s="5" t="str">
        <x:v>Final Check</x:v>
      </x:c>
    </x:row>
    <x:row r="2" ht="29" customHeight="1">
      <x:c r="A2" s="6" t="str">
        <x:v>Primary</x:v>
      </x:c>
      <x:c r="B2" s="6" t="str">
        <x:v>Shop All</x:v>
      </x:c>
      <x:c r="C2" s="6" t="str">
        <x:v>/collections/all</x:v>
      </x:c>
      <x:c r="D2" s="6" t="str">
        <x:v>/collections/all</x:v>
      </x:c>
      <x:c r="E2" s="6" t="str">
        <x:v>/collections/all</x:v>
      </x:c>
      <x:c r="F2" s="6" t="str">
        <x:v>Full catalogue entry point</x:v>
      </x:c>
      <x:c r="G2" s="6" t="str">
        <x:f>IF(C2=D2,"PASS","MISMATCH")</x:f>
        <x:v>PASS</x:v>
      </x:c>
      <x:c r="H2" s="6" t="str">
        <x:f>IF(AND(E2=D2,COUNTIF($E$2:$E$6,E2)=1),"PASS","REVIEW")</x:f>
        <x:v>PASS</x:v>
      </x:c>
    </x:row>
    <x:row r="3" ht="29" customHeight="1">
      <x:c r="A3" s="6" t="str">
        <x:v>Primary</x:v>
      </x:c>
      <x:c r="B3" s="6" t="str">
        <x:v>Living Room</x:v>
      </x:c>
      <x:c r="C3" s="6" t="str">
        <x:v>/collections/living-room</x:v>
      </x:c>
      <x:c r="D3" s="6" t="str">
        <x:v>/collections/living-room</x:v>
      </x:c>
      <x:c r="E3" s="6" t="str">
        <x:v>/collections/living-room</x:v>
      </x:c>
      <x:c r="F3" s="6" t="str">
        <x:v>Room-based discovery</x:v>
      </x:c>
      <x:c r="G3" s="6" t="str">
        <x:f>IF(C3=D3,"PASS","MISMATCH")</x:f>
        <x:v>PASS</x:v>
      </x:c>
      <x:c r="H3" s="6" t="str">
        <x:f>IF(AND(E3=D3,COUNTIF($E$2:$E$6,E3)=1),"PASS","REVIEW")</x:f>
        <x:v>PASS</x:v>
      </x:c>
    </x:row>
    <x:row r="4" ht="29" customHeight="1">
      <x:c r="A4" s="6" t="str">
        <x:v>Primary</x:v>
      </x:c>
      <x:c r="B4" s="6" t="str">
        <x:v>Bedroom</x:v>
      </x:c>
      <x:c r="C4" s="6" t="str">
        <x:v>/collections/bedroom</x:v>
      </x:c>
      <x:c r="D4" s="6" t="str">
        <x:v>/collections/bedroom</x:v>
      </x:c>
      <x:c r="E4" s="6" t="str">
        <x:v>/collections/bedroom</x:v>
      </x:c>
      <x:c r="F4" s="6" t="str">
        <x:v>Room-based discovery</x:v>
      </x:c>
      <x:c r="G4" s="6" t="str">
        <x:f>IF(C4=D4,"PASS","MISMATCH")</x:f>
        <x:v>PASS</x:v>
      </x:c>
      <x:c r="H4" s="6" t="str">
        <x:f>IF(AND(E4=D4,COUNTIF($E$2:$E$6,E4)=1),"PASS","REVIEW")</x:f>
        <x:v>PASS</x:v>
      </x:c>
    </x:row>
    <x:row r="5" ht="29" customHeight="1">
      <x:c r="A5" s="6" t="str">
        <x:v>Primary</x:v>
      </x:c>
      <x:c r="B5" s="6" t="str">
        <x:v>Workspace</x:v>
      </x:c>
      <x:c r="C5" s="6" t="str">
        <x:v>/collections/bedroom</x:v>
      </x:c>
      <x:c r="D5" s="6" t="str">
        <x:v>/collections/workspace</x:v>
      </x:c>
      <x:c r="E5" s="6" t="str">
        <x:v>/collections/workspace</x:v>
      </x:c>
      <x:c r="F5" s="6" t="str">
        <x:v>Room-based discovery</x:v>
      </x:c>
      <x:c r="G5" s="6" t="str">
        <x:f>IF(C5=D5,"PASS","MISMATCH")</x:f>
        <x:v>MISMATCH</x:v>
      </x:c>
      <x:c r="H5" s="6" t="str">
        <x:f>IF(AND(E5=D5,COUNTIF($E$2:$E$6,E5)=1),"PASS","REVIEW")</x:f>
        <x:v>PASS</x:v>
      </x:c>
    </x:row>
    <x:row r="6" ht="29" customHeight="1">
      <x:c r="A6" s="6" t="str">
        <x:v>Primary</x:v>
      </x:c>
      <x:c r="B6" s="6" t="str">
        <x:v>Storage &amp; Entryway</x:v>
      </x:c>
      <x:c r="C6" s="6" t="str">
        <x:v>/collections/storage-entryway</x:v>
      </x:c>
      <x:c r="D6" s="6" t="str">
        <x:v>/collections/storage-entryway</x:v>
      </x:c>
      <x:c r="E6" s="6" t="str">
        <x:v>/collections/storage-entryway</x:v>
      </x:c>
      <x:c r="F6" s="6" t="str">
        <x:v>Room-based discovery</x:v>
      </x:c>
      <x:c r="G6" s="6" t="str">
        <x:f>IF(C6=D6,"PASS","MISMATCH")</x:f>
        <x:v>PASS</x:v>
      </x:c>
      <x:c r="H6" s="6" t="str">
        <x:f>IF(AND(E6=D6,COUNTIF($E$2:$E$6,E6)=1),"PASS","REVIEW")</x:f>
        <x:v>PASS</x:v>
      </x:c>
    </x:row>
    <x:row r="7" ht="29" customHeight="1">
      <x:c r="A7" s="6"/>
      <x:c r="B7" s="6"/>
      <x:c r="C7" s="6"/>
      <x:c r="D7" s="6"/>
      <x:c r="E7" s="6"/>
      <x:c r="F7" s="6"/>
      <x:c r="G7" s="6"/>
      <x:c r="H7" s="6"/>
    </x:row>
    <x:row r="8" ht="29" customHeight="1">
      <x:c r="A8" s="6"/>
      <x:c r="B8" s="6"/>
      <x:c r="C8" s="6"/>
      <x:c r="D8" s="6"/>
      <x:c r="E8" s="6"/>
      <x:c r="F8" s="6"/>
      <x:c r="G8" s="6"/>
      <x:c r="H8" s="6"/>
    </x:row>
    <x:row r="9" ht="29" customHeight="1">
      <x:c r="A9" s="6"/>
      <x:c r="B9" s="6"/>
      <x:c r="C9" s="6"/>
      <x:c r="D9" s="6"/>
      <x:c r="E9" s="6"/>
      <x:c r="F9" s="6"/>
      <x:c r="G9" s="6"/>
      <x:c r="H9" s="6"/>
    </x:row>
    <x:row r="10" ht="29" customHeight="1">
      <x:c r="A10" s="6"/>
      <x:c r="B10" s="6"/>
      <x:c r="C10" s="6"/>
      <x:c r="D10" s="6"/>
      <x:c r="E10" s="6"/>
      <x:c r="F10" s="6"/>
      <x:c r="G10" s="6"/>
      <x:c r="H10" s="6"/>
    </x:row>
    <x:row r="11" ht="29" customHeight="1">
      <x:c r="A11" s="6"/>
      <x:c r="B11" s="6"/>
      <x:c r="C11" s="6"/>
      <x:c r="D11" s="6"/>
      <x:c r="E11" s="6"/>
      <x:c r="F11" s="6"/>
      <x:c r="G11" s="6"/>
      <x:c r="H11" s="6"/>
    </x:row>
    <x:row r="12" ht="29" customHeight="1">
      <x:c r="A12" s="6"/>
      <x:c r="B12" s="6"/>
      <x:c r="C12" s="6"/>
      <x:c r="D12" s="6"/>
      <x:c r="E12" s="6"/>
      <x:c r="F12" s="6"/>
      <x:c r="G12" s="6"/>
      <x:c r="H12" s="6"/>
    </x:row>
    <x:row r="13" ht="29" customHeight="1">
      <x:c r="A13" s="6"/>
      <x:c r="B13" s="6"/>
      <x:c r="C13" s="6"/>
      <x:c r="D13" s="6"/>
      <x:c r="E13" s="6"/>
      <x:c r="F13" s="6"/>
      <x:c r="G13" s="6"/>
      <x:c r="H13" s="6"/>
    </x:row>
    <x:row r="14" ht="29" customHeight="1">
      <x:c r="A14" s="6"/>
      <x:c r="B14" s="6"/>
      <x:c r="C14" s="6"/>
      <x:c r="D14" s="6"/>
      <x:c r="E14" s="6"/>
      <x:c r="F14" s="6"/>
      <x:c r="G14" s="6"/>
      <x:c r="H14" s="6"/>
    </x:row>
    <x:row r="15" ht="29" customHeight="1">
      <x:c r="A15" s="6"/>
      <x:c r="B15" s="6"/>
      <x:c r="C15" s="6"/>
      <x:c r="D15" s="6"/>
      <x:c r="E15" s="6"/>
      <x:c r="F15" s="6"/>
      <x:c r="G15" s="6"/>
      <x:c r="H15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95" hidden="0" customWidth="1"/>
    <x:col min="4" max="4" width="24" hidden="0" customWidth="1"/>
    <x:col min="5" max="5" width="28" hidden="0" customWidth="1"/>
    <x:col min="6" max="6" width="16" hidden="0" customWidth="1"/>
  </x:cols>
  <x:sheetData>
    <x:row r="1" ht="34" customHeight="1">
      <x:c r="A1" s="5" t="str">
        <x:v>ID</x:v>
      </x:c>
      <x:c r="B1" s="5" t="str">
        <x:v>Final Product Title</x:v>
      </x:c>
      <x:c r="C1" s="5" t="str">
        <x:v>Short Product Description</x:v>
      </x:c>
      <x:c r="D1" s="5" t="str">
        <x:v>Product Type</x:v>
      </x:c>
      <x:c r="E1" s="5" t="str">
        <x:v>Primary Collection</x:v>
      </x:c>
      <x:c r="F1" s="5" t="str">
        <x:v>Copy QA</x:v>
      </x:c>
    </x:row>
    <x:row r="2" ht="29" customHeight="1">
      <x:c r="A2" s="6" t="str">
        <x:v>MH-001</x:v>
      </x:c>
      <x:c r="B2" s="6" t="str">
        <x:v>Arc Lamp</x:v>
      </x:c>
      <x:c r="C2" s="6" t="str">
        <x:v>A metal arc lamp for the Living Room collection.</x:v>
      </x:c>
      <x:c r="D2" s="6" t="str">
        <x:v>Lamp</x:v>
      </x:c>
      <x:c r="E2" s="6" t="str">
        <x:v>Living Room</x:v>
      </x:c>
      <x:c r="F2" s="6" t="str">
        <x:f>IF(AND(A2='Taxonomy Map'!A2,B2='Taxonomy Map'!B2,D2='Taxonomy Map'!D2,E2='Taxonomy Map'!F2,C2&lt;&gt;""),"PASS","REVIEW")</x:f>
        <x:v>PASS</x:v>
      </x:c>
    </x:row>
    <x:row r="3" ht="29" customHeight="1">
      <x:c r="A3" s="6" t="str">
        <x:v>MH-002</x:v>
      </x:c>
      <x:c r="B3" s="6" t="str">
        <x:v>Linen Pillow Cover</x:v>
      </x:c>
      <x:c r="C3" s="6" t="str">
        <x:v>A linen pillow cover for the Living Room collection.</x:v>
      </x:c>
      <x:c r="D3" s="6" t="str">
        <x:v>Pillow Cover</x:v>
      </x:c>
      <x:c r="E3" s="6" t="str">
        <x:v>Living Room</x:v>
      </x:c>
      <x:c r="F3" s="6" t="str">
        <x:f>IF(AND(A3='Taxonomy Map'!A3,B3='Taxonomy Map'!B3,D3='Taxonomy Map'!D3,E3='Taxonomy Map'!F3,C3&lt;&gt;""),"PASS","REVIEW")</x:f>
        <x:v>PASS</x:v>
      </x:c>
    </x:row>
    <x:row r="4" ht="29" customHeight="1">
      <x:c r="A4" s="6" t="str">
        <x:v>MH-003</x:v>
      </x:c>
      <x:c r="B4" s="6" t="str">
        <x:v>Oak Shelf, 60</x:v>
      </x:c>
      <x:c r="C4" s="6" t="str">
        <x:v>An oak shelf assigned to the Workspace collection.</x:v>
      </x:c>
      <x:c r="D4" s="6" t="str">
        <x:v>Shelf</x:v>
      </x:c>
      <x:c r="E4" s="6" t="str">
        <x:v>Workspace</x:v>
      </x:c>
      <x:c r="F4" s="6" t="str">
        <x:f>IF(AND(A4='Taxonomy Map'!A4,B4='Taxonomy Map'!B4,D4='Taxonomy Map'!D4,E4='Taxonomy Map'!F4,C4&lt;&gt;""),"PASS","REVIEW")</x:f>
        <x:v>PASS</x:v>
      </x:c>
    </x:row>
    <x:row r="5" ht="29" customHeight="1">
      <x:c r="A5" s="6" t="str">
        <x:v>MH-004</x:v>
      </x:c>
      <x:c r="B5" s="6" t="str">
        <x:v>Large Seagrass Storage Basket</x:v>
      </x:c>
      <x:c r="C5" s="6" t="str">
        <x:v>A large seagrass storage basket for the Storage &amp; Entryway collection.</x:v>
      </x:c>
      <x:c r="D5" s="6" t="str">
        <x:v>Storage Basket</x:v>
      </x:c>
      <x:c r="E5" s="6" t="str">
        <x:v>Storage &amp; Entryway</x:v>
      </x:c>
      <x:c r="F5" s="6" t="str">
        <x:f>IF(AND(A5='Taxonomy Map'!A5,B5='Taxonomy Map'!B5,D5='Taxonomy Map'!D5,E5='Taxonomy Map'!F5,C5&lt;&gt;""),"PASS","REVIEW")</x:f>
        <x:v>PASS</x:v>
      </x:c>
    </x:row>
    <x:row r="6" ht="29" customHeight="1">
      <x:c r="A6" s="6" t="str">
        <x:v>MH-005</x:v>
      </x:c>
      <x:c r="B6" s="6" t="str">
        <x:v>Cotton Throw Blanket</x:v>
      </x:c>
      <x:c r="C6" s="6" t="str">
        <x:v>A cotton throw blanket for the Living Room collection.</x:v>
      </x:c>
      <x:c r="D6" s="6" t="str">
        <x:v>Throw Blanket</x:v>
      </x:c>
      <x:c r="E6" s="6" t="str">
        <x:v>Living Room</x:v>
      </x:c>
      <x:c r="F6" s="6" t="str">
        <x:f>IF(AND(A6='Taxonomy Map'!A6,B6='Taxonomy Map'!B6,D6='Taxonomy Map'!D6,E6='Taxonomy Map'!F6,C6&lt;&gt;""),"PASS","REVIEW")</x:f>
        <x:v>PASS</x:v>
      </x:c>
    </x:row>
    <x:row r="7" ht="29" customHeight="1">
      <x:c r="A7" s="6" t="str">
        <x:v>MH-006</x:v>
      </x:c>
      <x:c r="B7" s="6" t="str">
        <x:v>Tall Ceramic Vase</x:v>
      </x:c>
      <x:c r="C7" s="6" t="str">
        <x:v>A tall ceramic vase for the Living Room collection.</x:v>
      </x:c>
      <x:c r="D7" s="6" t="str">
        <x:v>Vase</x:v>
      </x:c>
      <x:c r="E7" s="6" t="str">
        <x:v>Living Room</x:v>
      </x:c>
      <x:c r="F7" s="6" t="str">
        <x:f>IF(AND(A7='Taxonomy Map'!A7,B7='Taxonomy Map'!B7,D7='Taxonomy Map'!D7,E7='Taxonomy Map'!F7,C7&lt;&gt;""),"PASS","REVIEW")</x:f>
        <x:v>PASS</x:v>
      </x:c>
    </x:row>
    <x:row r="8" ht="29" customHeight="1">
      <x:c r="A8" s="6" t="str">
        <x:v>MH-007</x:v>
      </x:c>
      <x:c r="B8" s="6" t="str">
        <x:v>Wood Bedside Tray</x:v>
      </x:c>
      <x:c r="C8" s="6" t="str">
        <x:v>A wood tray assigned to the Bedroom collection.</x:v>
      </x:c>
      <x:c r="D8" s="6" t="str">
        <x:v>Tray</x:v>
      </x:c>
      <x:c r="E8" s="6" t="str">
        <x:v>Bedroom</x:v>
      </x:c>
      <x:c r="F8" s="6" t="str">
        <x:f>IF(AND(A8='Taxonomy Map'!A8,B8='Taxonomy Map'!B8,D8='Taxonomy Map'!D8,E8='Taxonomy Map'!F8,C8&lt;&gt;""),"PASS","REVIEW")</x:f>
        <x:v>PASS</x:v>
      </x:c>
    </x:row>
    <x:row r="9" ht="29" customHeight="1">
      <x:c r="A9" s="6" t="str">
        <x:v>MH-008</x:v>
      </x:c>
      <x:c r="B9" s="6" t="str">
        <x:v>Powder-Coated Steel Desk Organizer</x:v>
      </x:c>
      <x:c r="C9" s="6" t="str">
        <x:v>A powder-coated steel desk organizer for the Workspace collection.</x:v>
      </x:c>
      <x:c r="D9" s="6" t="str">
        <x:v>Desk Organizer</x:v>
      </x:c>
      <x:c r="E9" s="6" t="str">
        <x:v>Workspace</x:v>
      </x:c>
      <x:c r="F9" s="6" t="str">
        <x:f>IF(AND(A9='Taxonomy Map'!A9,B9='Taxonomy Map'!B9,D9='Taxonomy Map'!D9,E9='Taxonomy Map'!F9,C9&lt;&gt;""),"PASS","REVIEW")</x:f>
        <x:v>PASS</x:v>
      </x:c>
    </x:row>
    <x:row r="10" ht="29" customHeight="1">
      <x:c r="A10" s="6" t="str">
        <x:v>MH-009</x:v>
      </x:c>
      <x:c r="B10" s="6" t="str">
        <x:v>Wool-Blend Rug, 160 × 230</x:v>
      </x:c>
      <x:c r="C10" s="6" t="str">
        <x:v>A neutral wool-blend rug assigned to the Living Room collection.</x:v>
      </x:c>
      <x:c r="D10" s="6" t="str">
        <x:v>Area Rug</x:v>
      </x:c>
      <x:c r="E10" s="6" t="str">
        <x:v>Living Room</x:v>
      </x:c>
      <x:c r="F10" s="6" t="str">
        <x:f>IF(AND(A10='Taxonomy Map'!A10,B10='Taxonomy Map'!B10,D10='Taxonomy Map'!D10,E10='Taxonomy Map'!F10,C10&lt;&gt;""),"PASS","REVIEW")</x:f>
        <x:v>PASS</x:v>
      </x:c>
    </x:row>
    <x:row r="11" ht="29" customHeight="1">
      <x:c r="A11" s="6" t="str">
        <x:v>MH-010</x:v>
      </x:c>
      <x:c r="B11" s="6" t="str">
        <x:v>Linen Curtain, 220</x:v>
      </x:c>
      <x:c r="C11" s="6" t="str">
        <x:v>A linen curtain assigned to the Bedroom collection.</x:v>
      </x:c>
      <x:c r="D11" s="6" t="str">
        <x:v>Curtain</x:v>
      </x:c>
      <x:c r="E11" s="6" t="str">
        <x:v>Bedroom</x:v>
      </x:c>
      <x:c r="F11" s="6" t="str">
        <x:f>IF(AND(A11='Taxonomy Map'!A11,B11='Taxonomy Map'!B11,D11='Taxonomy Map'!D11,E11='Taxonomy Map'!F11,C11&lt;&gt;""),"PASS","REVIEW")</x:f>
        <x:v>PASS</x:v>
      </x:c>
    </x:row>
    <x:row r="12" ht="29" customHeight="1">
      <x:c r="A12" s="6" t="str">
        <x:v>MH-011</x:v>
      </x:c>
      <x:c r="B12" s="6" t="str">
        <x:v>Metal Floor Lamp</x:v>
      </x:c>
      <x:c r="C12" s="6" t="str">
        <x:v>A black metal floor lamp for the Living Room collection.</x:v>
      </x:c>
      <x:c r="D12" s="6" t="str">
        <x:v>Floor Lamp</x:v>
      </x:c>
      <x:c r="E12" s="6" t="str">
        <x:v>Living Room</x:v>
      </x:c>
      <x:c r="F12" s="6" t="str">
        <x:f>IF(AND(A12='Taxonomy Map'!A12,B12='Taxonomy Map'!B12,D12='Taxonomy Map'!D12,E12='Taxonomy Map'!F12,C12&lt;&gt;""),"PASS","REVIEW")</x:f>
        <x:v>PASS</x:v>
      </x:c>
    </x:row>
    <x:row r="13" ht="29" customHeight="1">
      <x:c r="A13" s="6" t="str">
        <x:v>MH-012</x:v>
      </x:c>
      <x:c r="B13" s="6" t="str">
        <x:v>Oak and Metal Hook Rack, 5</x:v>
      </x:c>
      <x:c r="C13" s="6" t="str">
        <x:v>An oak and metal hook rack for the Storage &amp; Entryway collection.</x:v>
      </x:c>
      <x:c r="D13" s="6" t="str">
        <x:v>Hook Rack</x:v>
      </x:c>
      <x:c r="E13" s="6" t="str">
        <x:v>Storage &amp; Entryway</x:v>
      </x:c>
      <x:c r="F13" s="6" t="str">
        <x:f>IF(AND(A13='Taxonomy Map'!A13,B13='Taxonomy Map'!B13,D13='Taxonomy Map'!D13,E13='Taxonomy Map'!F13,C13&lt;&gt;""),"PASS","REVIEW")</x:f>
        <x:v>PASS</x:v>
      </x:c>
    </x:row>
    <x:row r="14" ht="29" customHeight="1">
      <x:c r="A14" s="6"/>
      <x:c r="B14" s="6"/>
      <x:c r="C14" s="6"/>
      <x:c r="D14" s="6"/>
      <x:c r="E14" s="6"/>
      <x:c r="F14" s="6"/>
    </x:row>
    <x:row r="15" ht="29" customHeight="1">
      <x:c r="A15" s="6"/>
      <x:c r="B15" s="6"/>
      <x:c r="C15" s="6"/>
      <x:c r="D15" s="6"/>
      <x:c r="E15" s="6"/>
      <x:c r="F15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9" hidden="0" customWidth="1"/>
    <x:col min="3" max="3" width="16" hidden="0" customWidth="1"/>
    <x:col min="4" max="4" width="105" hidden="0" customWidth="1"/>
    <x:col min="5" max="5" width="16" hidden="0" customWidth="1"/>
    <x:col min="6" max="6" width="42" hidden="0" customWidth="1"/>
    <x:col min="7" max="7" width="46" hidden="0" customWidth="1"/>
    <x:col min="8" max="8" width="67" hidden="0" customWidth="1"/>
    <x:col min="9" max="9" width="46" hidden="0" customWidth="1"/>
    <x:col min="10" max="10" width="67" hidden="0" customWidth="1"/>
    <x:col min="11" max="11" width="19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4" customHeight="1">
      <x:c r="A1" s="5" t="str">
        <x:v>ID</x:v>
      </x:c>
      <x:c r="B1" s="5" t="str">
        <x:v>SEO Title</x:v>
      </x:c>
      <x:c r="C1" s="5" t="str">
        <x:v>Title Chars</x:v>
      </x:c>
      <x:c r="D1" s="5" t="str">
        <x:v>Meta Description</x:v>
      </x:c>
      <x:c r="E1" s="5" t="str">
        <x:v>Meta Chars</x:v>
      </x:c>
      <x:c r="F1" s="5" t="str">
        <x:v>Handle</x:v>
      </x:c>
      <x:c r="G1" s="5" t="str">
        <x:v>Image 1 Filename</x:v>
      </x:c>
      <x:c r="H1" s="5" t="str">
        <x:v>Alt 1</x:v>
      </x:c>
      <x:c r="I1" s="5" t="str">
        <x:v>Image 2 Filename</x:v>
      </x:c>
      <x:c r="J1" s="5" t="str">
        <x:v>Alt 2</x:v>
      </x:c>
      <x:c r="K1" s="5" t="str">
        <x:v>SEO/Media QA</x:v>
      </x:c>
      <x:c r="L1" s="5" t="str">
        <x:v>File 1 Unique</x:v>
      </x:c>
      <x:c r="M1" s="5" t="str">
        <x:v>File 2 Unique</x:v>
      </x:c>
      <x:c r="N1" s="5" t="str">
        <x:v>Alt 1 Unique</x:v>
      </x:c>
      <x:c r="O1" s="5" t="str">
        <x:v>Alt 2 Unique</x:v>
      </x:c>
      <x:c r="P1" s="5" t="str">
        <x:v>Handle Unique</x:v>
      </x:c>
    </x:row>
    <x:row r="2" ht="29" customHeight="1">
      <x:c r="A2" s="6" t="str">
        <x:v>MH-001</x:v>
      </x:c>
      <x:c r="B2" s="6" t="str">
        <x:v>Arc Lamp | Morrow Home</x:v>
      </x:c>
      <x:c r="C2" s="6" t="n">
        <x:f>LEN(B2)</x:f>
        <x:v>22</x:v>
      </x:c>
      <x:c r="D2" s="6" t="str">
        <x:v>A metal arc lamp for the Living Room collection. Explore its planned Morrow Home room collection and organized catalogue details.</x:v>
      </x:c>
      <x:c r="E2" s="6" t="n">
        <x:f>LEN(D2)</x:f>
        <x:v>129</x:v>
      </x:c>
      <x:c r="F2" s="6" t="str">
        <x:v>arc-lamp</x:v>
      </x:c>
      <x:c r="G2" s="6" t="str">
        <x:v>arc-lamp-front.jpg</x:v>
      </x:c>
      <x:c r="H2" s="6" t="str">
        <x:v>Front view of the metal arc lamp</x:v>
      </x:c>
      <x:c r="I2" s="6" t="str">
        <x:v>arc-lamp-side.jpg</x:v>
      </x:c>
      <x:c r="J2" s="6" t="str">
        <x:v>Side view of the metal arc lamp</x:v>
      </x:c>
      <x:c r="K2" s="6" t="str">
        <x:f>IF(AND(C2&lt;=60,C2&gt;0,E2&gt;=120,E2&lt;=160,L2=1,M2=1,N2=1,O2=1,P2=1),"PASS","REVIEW")</x:f>
        <x:v>PASS</x:v>
      </x:c>
      <x:c r="L2" s="6" t="n">
        <x:f>IF(AND(G2&lt;&gt;"",COUNTIF($G$2:$G$13,G2)+COUNTIF($I$2:$I$13,G2)=1),1,0)</x:f>
        <x:v>1</x:v>
      </x:c>
      <x:c r="M2" s="6" t="n">
        <x:f>IF(AND(I2&lt;&gt;"",COUNTIF($G$2:$G$13,I2)+COUNTIF($I$2:$I$13,I2)=1),1,0)</x:f>
        <x:v>1</x:v>
      </x:c>
      <x:c r="N2" s="6" t="n">
        <x:f>IF(AND(H2&lt;&gt;"",COUNTIF($H$2:$H$13,H2)+COUNTIF($J$2:$J$13,H2)=1),1,0)</x:f>
        <x:v>1</x:v>
      </x:c>
      <x:c r="O2" s="6" t="n">
        <x:f>IF(AND(J2&lt;&gt;"",COUNTIF($H$2:$H$13,J2)+COUNTIF($J$2:$J$13,J2)=1),1,0)</x:f>
        <x:v>1</x:v>
      </x:c>
      <x:c r="P2" s="6" t="n">
        <x:f>IF(AND(F2&lt;&gt;"",COUNTIF($F$2:$F$13,F2)=1),1,0)</x:f>
        <x:v>1</x:v>
      </x:c>
    </x:row>
    <x:row r="3" ht="29" customHeight="1">
      <x:c r="A3" s="6" t="str">
        <x:v>MH-002</x:v>
      </x:c>
      <x:c r="B3" s="6" t="str">
        <x:v>Linen Pillow Cover | Morrow Home</x:v>
      </x:c>
      <x:c r="C3" s="6" t="n">
        <x:f>LEN(B3)</x:f>
        <x:v>32</x:v>
      </x:c>
      <x:c r="D3" s="6" t="str">
        <x:v>A linen pillow cover for the Living Room collection. Explore its planned Morrow Home room collection and organized catalogue details.</x:v>
      </x:c>
      <x:c r="E3" s="6" t="n">
        <x:f>LEN(D3)</x:f>
        <x:v>133</x:v>
      </x:c>
      <x:c r="F3" s="6" t="str">
        <x:v>linen-pillow-cover</x:v>
      </x:c>
      <x:c r="G3" s="6" t="str">
        <x:v>linen-pillow-cover-front.jpg</x:v>
      </x:c>
      <x:c r="H3" s="6" t="str">
        <x:v>Front view of the linen pillow cover</x:v>
      </x:c>
      <x:c r="I3" s="6" t="str">
        <x:v>linen-pillow-cover-back.jpg</x:v>
      </x:c>
      <x:c r="J3" s="6" t="str">
        <x:v>Back view of the linen pillow cover</x:v>
      </x:c>
      <x:c r="K3" s="6" t="str">
        <x:f>IF(AND(C3&lt;=60,C3&gt;0,E3&gt;=120,E3&lt;=160,L3=1,M3=1,N3=1,O3=1,P3=1),"PASS","REVIEW")</x:f>
        <x:v>PASS</x:v>
      </x:c>
      <x:c r="L3" s="6" t="n">
        <x:f>IF(AND(G3&lt;&gt;"",COUNTIF($G$2:$G$13,G3)+COUNTIF($I$2:$I$13,G3)=1),1,0)</x:f>
        <x:v>1</x:v>
      </x:c>
      <x:c r="M3" s="6" t="n">
        <x:f>IF(AND(I3&lt;&gt;"",COUNTIF($G$2:$G$13,I3)+COUNTIF($I$2:$I$13,I3)=1),1,0)</x:f>
        <x:v>1</x:v>
      </x:c>
      <x:c r="N3" s="6" t="n">
        <x:f>IF(AND(H3&lt;&gt;"",COUNTIF($H$2:$H$13,H3)+COUNTIF($J$2:$J$13,H3)=1),1,0)</x:f>
        <x:v>1</x:v>
      </x:c>
      <x:c r="O3" s="6" t="n">
        <x:f>IF(AND(J3&lt;&gt;"",COUNTIF($H$2:$H$13,J3)+COUNTIF($J$2:$J$13,J3)=1),1,0)</x:f>
        <x:v>1</x:v>
      </x:c>
      <x:c r="P3" s="6" t="n">
        <x:f>IF(AND(F3&lt;&gt;"",COUNTIF($F$2:$F$13,F3)=1),1,0)</x:f>
        <x:v>1</x:v>
      </x:c>
    </x:row>
    <x:row r="4" ht="29" customHeight="1">
      <x:c r="A4" s="6" t="str">
        <x:v>MH-003</x:v>
      </x:c>
      <x:c r="B4" s="6" t="str">
        <x:v>Oak Shelf, 60 | Morrow Home</x:v>
      </x:c>
      <x:c r="C4" s="6" t="n">
        <x:f>LEN(B4)</x:f>
        <x:v>27</x:v>
      </x:c>
      <x:c r="D4" s="6" t="str">
        <x:v>An oak shelf assigned to the Workspace collection. Explore its planned Morrow Home room collection and organized catalogue details.</x:v>
      </x:c>
      <x:c r="E4" s="6" t="n">
        <x:f>LEN(D4)</x:f>
        <x:v>131</x:v>
      </x:c>
      <x:c r="F4" s="6" t="str">
        <x:v>oak-shelf-60</x:v>
      </x:c>
      <x:c r="G4" s="6" t="str">
        <x:v>oak-shelf-60-front.jpg</x:v>
      </x:c>
      <x:c r="H4" s="6" t="str">
        <x:v>Front view of the oak shelf</x:v>
      </x:c>
      <x:c r="I4" s="6" t="str">
        <x:v>oak-shelf-60-detail.jpg</x:v>
      </x:c>
      <x:c r="J4" s="6" t="str">
        <x:v>Detail view of the oak shelf</x:v>
      </x:c>
      <x:c r="K4" s="6" t="str">
        <x:f>IF(AND(C4&lt;=60,C4&gt;0,E4&gt;=120,E4&lt;=160,L4=1,M4=1,N4=1,O4=1,P4=1),"PASS","REVIEW")</x:f>
        <x:v>PASS</x:v>
      </x:c>
      <x:c r="L4" s="6" t="n">
        <x:f>IF(AND(G4&lt;&gt;"",COUNTIF($G$2:$G$13,G4)+COUNTIF($I$2:$I$13,G4)=1),1,0)</x:f>
        <x:v>1</x:v>
      </x:c>
      <x:c r="M4" s="6" t="n">
        <x:f>IF(AND(I4&lt;&gt;"",COUNTIF($G$2:$G$13,I4)+COUNTIF($I$2:$I$13,I4)=1),1,0)</x:f>
        <x:v>1</x:v>
      </x:c>
      <x:c r="N4" s="6" t="n">
        <x:f>IF(AND(H4&lt;&gt;"",COUNTIF($H$2:$H$13,H4)+COUNTIF($J$2:$J$13,H4)=1),1,0)</x:f>
        <x:v>1</x:v>
      </x:c>
      <x:c r="O4" s="6" t="n">
        <x:f>IF(AND(J4&lt;&gt;"",COUNTIF($H$2:$H$13,J4)+COUNTIF($J$2:$J$13,J4)=1),1,0)</x:f>
        <x:v>1</x:v>
      </x:c>
      <x:c r="P4" s="6" t="n">
        <x:f>IF(AND(F4&lt;&gt;"",COUNTIF($F$2:$F$13,F4)=1),1,0)</x:f>
        <x:v>1</x:v>
      </x:c>
    </x:row>
    <x:row r="5" ht="29" customHeight="1">
      <x:c r="A5" s="6" t="str">
        <x:v>MH-004</x:v>
      </x:c>
      <x:c r="B5" s="6" t="str">
        <x:v>Large Seagrass Storage Basket | Morrow Home</x:v>
      </x:c>
      <x:c r="C5" s="6" t="n">
        <x:f>LEN(B5)</x:f>
        <x:v>43</x:v>
      </x:c>
      <x:c r="D5" s="6" t="str">
        <x:v>A large seagrass storage basket for the Storage &amp; Entryway collection. Explore its planned Morrow Home room collection and organized catalogue details.</x:v>
      </x:c>
      <x:c r="E5" s="6" t="n">
        <x:f>LEN(D5)</x:f>
        <x:v>151</x:v>
      </x:c>
      <x:c r="F5" s="6" t="str">
        <x:v>large-seagrass-storage-basket</x:v>
      </x:c>
      <x:c r="G5" s="6" t="str">
        <x:v>large-seagrass-storage-basket-front.jpg</x:v>
      </x:c>
      <x:c r="H5" s="6" t="str">
        <x:v>Front view of the large seagrass storage basket</x:v>
      </x:c>
      <x:c r="I5" s="6" t="str">
        <x:v>large-seagrass-storage-basket-detail.jpg</x:v>
      </x:c>
      <x:c r="J5" s="6" t="str">
        <x:v>Detail view of the large seagrass storage basket</x:v>
      </x:c>
      <x:c r="K5" s="6" t="str">
        <x:f>IF(AND(C5&lt;=60,C5&gt;0,E5&gt;=120,E5&lt;=160,L5=1,M5=1,N5=1,O5=1,P5=1),"PASS","REVIEW")</x:f>
        <x:v>PASS</x:v>
      </x:c>
      <x:c r="L5" s="6" t="n">
        <x:f>IF(AND(G5&lt;&gt;"",COUNTIF($G$2:$G$13,G5)+COUNTIF($I$2:$I$13,G5)=1),1,0)</x:f>
        <x:v>1</x:v>
      </x:c>
      <x:c r="M5" s="6" t="n">
        <x:f>IF(AND(I5&lt;&gt;"",COUNTIF($G$2:$G$13,I5)+COUNTIF($I$2:$I$13,I5)=1),1,0)</x:f>
        <x:v>1</x:v>
      </x:c>
      <x:c r="N5" s="6" t="n">
        <x:f>IF(AND(H5&lt;&gt;"",COUNTIF($H$2:$H$13,H5)+COUNTIF($J$2:$J$13,H5)=1),1,0)</x:f>
        <x:v>1</x:v>
      </x:c>
      <x:c r="O5" s="6" t="n">
        <x:f>IF(AND(J5&lt;&gt;"",COUNTIF($H$2:$H$13,J5)+COUNTIF($J$2:$J$13,J5)=1),1,0)</x:f>
        <x:v>1</x:v>
      </x:c>
      <x:c r="P5" s="6" t="n">
        <x:f>IF(AND(F5&lt;&gt;"",COUNTIF($F$2:$F$13,F5)=1),1,0)</x:f>
        <x:v>1</x:v>
      </x:c>
    </x:row>
    <x:row r="6" ht="29" customHeight="1">
      <x:c r="A6" s="6" t="str">
        <x:v>MH-005</x:v>
      </x:c>
      <x:c r="B6" s="6" t="str">
        <x:v>Cotton Throw Blanket | Morrow Home</x:v>
      </x:c>
      <x:c r="C6" s="6" t="n">
        <x:f>LEN(B6)</x:f>
        <x:v>34</x:v>
      </x:c>
      <x:c r="D6" s="6" t="str">
        <x:v>A cotton throw blanket for the Living Room collection. Explore its planned Morrow Home room collection and organized catalogue details.</x:v>
      </x:c>
      <x:c r="E6" s="6" t="n">
        <x:f>LEN(D6)</x:f>
        <x:v>135</x:v>
      </x:c>
      <x:c r="F6" s="6" t="str">
        <x:v>cotton-throw-blanket</x:v>
      </x:c>
      <x:c r="G6" s="6" t="str">
        <x:v>cotton-throw-blanket-folded.jpg</x:v>
      </x:c>
      <x:c r="H6" s="6" t="str">
        <x:v>Folded cotton throw blanket</x:v>
      </x:c>
      <x:c r="I6" s="6" t="str">
        <x:v>cotton-throw-blanket-full.jpg</x:v>
      </x:c>
      <x:c r="J6" s="6" t="str">
        <x:v>Full view of the cotton throw blanket</x:v>
      </x:c>
      <x:c r="K6" s="6" t="str">
        <x:f>IF(AND(C6&lt;=60,C6&gt;0,E6&gt;=120,E6&lt;=160,L6=1,M6=1,N6=1,O6=1,P6=1),"PASS","REVIEW")</x:f>
        <x:v>PASS</x:v>
      </x:c>
      <x:c r="L6" s="6" t="n">
        <x:f>IF(AND(G6&lt;&gt;"",COUNTIF($G$2:$G$13,G6)+COUNTIF($I$2:$I$13,G6)=1),1,0)</x:f>
        <x:v>1</x:v>
      </x:c>
      <x:c r="M6" s="6" t="n">
        <x:f>IF(AND(I6&lt;&gt;"",COUNTIF($G$2:$G$13,I6)+COUNTIF($I$2:$I$13,I6)=1),1,0)</x:f>
        <x:v>1</x:v>
      </x:c>
      <x:c r="N6" s="6" t="n">
        <x:f>IF(AND(H6&lt;&gt;"",COUNTIF($H$2:$H$13,H6)+COUNTIF($J$2:$J$13,H6)=1),1,0)</x:f>
        <x:v>1</x:v>
      </x:c>
      <x:c r="O6" s="6" t="n">
        <x:f>IF(AND(J6&lt;&gt;"",COUNTIF($H$2:$H$13,J6)+COUNTIF($J$2:$J$13,J6)=1),1,0)</x:f>
        <x:v>1</x:v>
      </x:c>
      <x:c r="P6" s="6" t="n">
        <x:f>IF(AND(F6&lt;&gt;"",COUNTIF($F$2:$F$13,F6)=1),1,0)</x:f>
        <x:v>1</x:v>
      </x:c>
    </x:row>
    <x:row r="7" ht="29" customHeight="1">
      <x:c r="A7" s="6" t="str">
        <x:v>MH-006</x:v>
      </x:c>
      <x:c r="B7" s="6" t="str">
        <x:v>Tall Ceramic Vase | Morrow Home</x:v>
      </x:c>
      <x:c r="C7" s="6" t="n">
        <x:f>LEN(B7)</x:f>
        <x:v>31</x:v>
      </x:c>
      <x:c r="D7" s="6" t="str">
        <x:v>A tall ceramic vase for the Living Room collection. Explore its planned Morrow Home room collection and organized catalogue details.</x:v>
      </x:c>
      <x:c r="E7" s="6" t="n">
        <x:f>LEN(D7)</x:f>
        <x:v>132</x:v>
      </x:c>
      <x:c r="F7" s="6" t="str">
        <x:v>tall-ceramic-vase</x:v>
      </x:c>
      <x:c r="G7" s="6" t="str">
        <x:v>tall-ceramic-vase-front.jpg</x:v>
      </x:c>
      <x:c r="H7" s="6" t="str">
        <x:v>Front view of the tall ceramic vase</x:v>
      </x:c>
      <x:c r="I7" s="6" t="str">
        <x:v>tall-ceramic-vase-detail.jpg</x:v>
      </x:c>
      <x:c r="J7" s="6" t="str">
        <x:v>Detail view of the tall ceramic vase</x:v>
      </x:c>
      <x:c r="K7" s="6" t="str">
        <x:f>IF(AND(C7&lt;=60,C7&gt;0,E7&gt;=120,E7&lt;=160,L7=1,M7=1,N7=1,O7=1,P7=1),"PASS","REVIEW")</x:f>
        <x:v>PASS</x:v>
      </x:c>
      <x:c r="L7" s="6" t="n">
        <x:f>IF(AND(G7&lt;&gt;"",COUNTIF($G$2:$G$13,G7)+COUNTIF($I$2:$I$13,G7)=1),1,0)</x:f>
        <x:v>1</x:v>
      </x:c>
      <x:c r="M7" s="6" t="n">
        <x:f>IF(AND(I7&lt;&gt;"",COUNTIF($G$2:$G$13,I7)+COUNTIF($I$2:$I$13,I7)=1),1,0)</x:f>
        <x:v>1</x:v>
      </x:c>
      <x:c r="N7" s="6" t="n">
        <x:f>IF(AND(H7&lt;&gt;"",COUNTIF($H$2:$H$13,H7)+COUNTIF($J$2:$J$13,H7)=1),1,0)</x:f>
        <x:v>1</x:v>
      </x:c>
      <x:c r="O7" s="6" t="n">
        <x:f>IF(AND(J7&lt;&gt;"",COUNTIF($H$2:$H$13,J7)+COUNTIF($J$2:$J$13,J7)=1),1,0)</x:f>
        <x:v>1</x:v>
      </x:c>
      <x:c r="P7" s="6" t="n">
        <x:f>IF(AND(F7&lt;&gt;"",COUNTIF($F$2:$F$13,F7)=1),1,0)</x:f>
        <x:v>1</x:v>
      </x:c>
    </x:row>
    <x:row r="8" ht="29" customHeight="1">
      <x:c r="A8" s="6" t="str">
        <x:v>MH-007</x:v>
      </x:c>
      <x:c r="B8" s="6" t="str">
        <x:v>Wood Bedside Tray | Morrow Home</x:v>
      </x:c>
      <x:c r="C8" s="6" t="n">
        <x:f>LEN(B8)</x:f>
        <x:v>31</x:v>
      </x:c>
      <x:c r="D8" s="6" t="str">
        <x:v>A wood tray assigned to the Bedroom collection. Explore its planned Morrow Home room collection and organized catalogue details.</x:v>
      </x:c>
      <x:c r="E8" s="6" t="n">
        <x:f>LEN(D8)</x:f>
        <x:v>128</x:v>
      </x:c>
      <x:c r="F8" s="6" t="str">
        <x:v>wood-bedside-tray</x:v>
      </x:c>
      <x:c r="G8" s="6" t="str">
        <x:v>wood-bedside-tray-top.jpg</x:v>
      </x:c>
      <x:c r="H8" s="6" t="str">
        <x:v>Top view of the wood tray</x:v>
      </x:c>
      <x:c r="I8" s="6" t="str">
        <x:v>wood-bedside-tray-angle.jpg</x:v>
      </x:c>
      <x:c r="J8" s="6" t="str">
        <x:v>Angled view of the wood tray</x:v>
      </x:c>
      <x:c r="K8" s="6" t="str">
        <x:f>IF(AND(C8&lt;=60,C8&gt;0,E8&gt;=120,E8&lt;=160,L8=1,M8=1,N8=1,O8=1,P8=1),"PASS","REVIEW")</x:f>
        <x:v>PASS</x:v>
      </x:c>
      <x:c r="L8" s="6" t="n">
        <x:f>IF(AND(G8&lt;&gt;"",COUNTIF($G$2:$G$13,G8)+COUNTIF($I$2:$I$13,G8)=1),1,0)</x:f>
        <x:v>1</x:v>
      </x:c>
      <x:c r="M8" s="6" t="n">
        <x:f>IF(AND(I8&lt;&gt;"",COUNTIF($G$2:$G$13,I8)+COUNTIF($I$2:$I$13,I8)=1),1,0)</x:f>
        <x:v>1</x:v>
      </x:c>
      <x:c r="N8" s="6" t="n">
        <x:f>IF(AND(H8&lt;&gt;"",COUNTIF($H$2:$H$13,H8)+COUNTIF($J$2:$J$13,H8)=1),1,0)</x:f>
        <x:v>1</x:v>
      </x:c>
      <x:c r="O8" s="6" t="n">
        <x:f>IF(AND(J8&lt;&gt;"",COUNTIF($H$2:$H$13,J8)+COUNTIF($J$2:$J$13,J8)=1),1,0)</x:f>
        <x:v>1</x:v>
      </x:c>
      <x:c r="P8" s="6" t="n">
        <x:f>IF(AND(F8&lt;&gt;"",COUNTIF($F$2:$F$13,F8)=1),1,0)</x:f>
        <x:v>1</x:v>
      </x:c>
    </x:row>
    <x:row r="9" ht="29" customHeight="1">
      <x:c r="A9" s="6" t="str">
        <x:v>MH-008</x:v>
      </x:c>
      <x:c r="B9" s="6" t="str">
        <x:v>Powder-Coated Steel Desk Organizer | Morrow Home</x:v>
      </x:c>
      <x:c r="C9" s="6" t="n">
        <x:f>LEN(B9)</x:f>
        <x:v>48</x:v>
      </x:c>
      <x:c r="D9" s="6" t="str">
        <x:v>A powder-coated steel desk organizer for the Workspace collection. Explore its planned Morrow Home room collection and organized catalogue details.</x:v>
      </x:c>
      <x:c r="E9" s="6" t="n">
        <x:f>LEN(D9)</x:f>
        <x:v>147</x:v>
      </x:c>
      <x:c r="F9" s="6" t="str">
        <x:v>powder-coated-steel-desk-organizer</x:v>
      </x:c>
      <x:c r="G9" s="6" t="str">
        <x:v>powder-coated-steel-desk-organizer-front.jpg</x:v>
      </x:c>
      <x:c r="H9" s="6" t="str">
        <x:v>Front view of the powder-coated steel desk organizer</x:v>
      </x:c>
      <x:c r="I9" s="6" t="str">
        <x:v>powder-coated-steel-desk-organizer-top.jpg</x:v>
      </x:c>
      <x:c r="J9" s="6" t="str">
        <x:v>Top view of the powder-coated steel desk organizer</x:v>
      </x:c>
      <x:c r="K9" s="6" t="str">
        <x:f>IF(AND(C9&lt;=60,C9&gt;0,E9&gt;=120,E9&lt;=160,L9=1,M9=1,N9=1,O9=1,P9=1),"PASS","REVIEW")</x:f>
        <x:v>PASS</x:v>
      </x:c>
      <x:c r="L9" s="6" t="n">
        <x:f>IF(AND(G9&lt;&gt;"",COUNTIF($G$2:$G$13,G9)+COUNTIF($I$2:$I$13,G9)=1),1,0)</x:f>
        <x:v>1</x:v>
      </x:c>
      <x:c r="M9" s="6" t="n">
        <x:f>IF(AND(I9&lt;&gt;"",COUNTIF($G$2:$G$13,I9)+COUNTIF($I$2:$I$13,I9)=1),1,0)</x:f>
        <x:v>1</x:v>
      </x:c>
      <x:c r="N9" s="6" t="n">
        <x:f>IF(AND(H9&lt;&gt;"",COUNTIF($H$2:$H$13,H9)+COUNTIF($J$2:$J$13,H9)=1),1,0)</x:f>
        <x:v>1</x:v>
      </x:c>
      <x:c r="O9" s="6" t="n">
        <x:f>IF(AND(J9&lt;&gt;"",COUNTIF($H$2:$H$13,J9)+COUNTIF($J$2:$J$13,J9)=1),1,0)</x:f>
        <x:v>1</x:v>
      </x:c>
      <x:c r="P9" s="6" t="n">
        <x:f>IF(AND(F9&lt;&gt;"",COUNTIF($F$2:$F$13,F9)=1),1,0)</x:f>
        <x:v>1</x:v>
      </x:c>
    </x:row>
    <x:row r="10" ht="29" customHeight="1">
      <x:c r="A10" s="6" t="str">
        <x:v>MH-009</x:v>
      </x:c>
      <x:c r="B10" s="6" t="str">
        <x:v>Wool-Blend Rug, 160 × 230 | Morrow Home</x:v>
      </x:c>
      <x:c r="C10" s="6" t="n">
        <x:f>LEN(B10)</x:f>
        <x:v>39</x:v>
      </x:c>
      <x:c r="D10" s="6" t="str">
        <x:v>A neutral wool-blend rug assigned to the Living Room collection. Explore its planned Morrow Home room collection and organized catalogue details.</x:v>
      </x:c>
      <x:c r="E10" s="6" t="n">
        <x:f>LEN(D10)</x:f>
        <x:v>145</x:v>
      </x:c>
      <x:c r="F10" s="6" t="str">
        <x:v>wool-blend-rug-160x230</x:v>
      </x:c>
      <x:c r="G10" s="6" t="str">
        <x:v>wool-blend-rug-160x230-flat.jpg</x:v>
      </x:c>
      <x:c r="H10" s="6" t="str">
        <x:v>Full view of the neutral wool-blend rug</x:v>
      </x:c>
      <x:c r="I10" s="6" t="str">
        <x:v>wool-blend-rug-160x230-detail.jpg</x:v>
      </x:c>
      <x:c r="J10" s="6" t="str">
        <x:v>Detail view of the neutral wool-blend rug</x:v>
      </x:c>
      <x:c r="K10" s="6" t="str">
        <x:f>IF(AND(C10&lt;=60,C10&gt;0,E10&gt;=120,E10&lt;=160,L10=1,M10=1,N10=1,O10=1,P10=1),"PASS","REVIEW")</x:f>
        <x:v>PASS</x:v>
      </x:c>
      <x:c r="L10" s="6" t="n">
        <x:f>IF(AND(G10&lt;&gt;"",COUNTIF($G$2:$G$13,G10)+COUNTIF($I$2:$I$13,G10)=1),1,0)</x:f>
        <x:v>1</x:v>
      </x:c>
      <x:c r="M10" s="6" t="n">
        <x:f>IF(AND(I10&lt;&gt;"",COUNTIF($G$2:$G$13,I10)+COUNTIF($I$2:$I$13,I10)=1),1,0)</x:f>
        <x:v>1</x:v>
      </x:c>
      <x:c r="N10" s="6" t="n">
        <x:f>IF(AND(H10&lt;&gt;"",COUNTIF($H$2:$H$13,H10)+COUNTIF($J$2:$J$13,H10)=1),1,0)</x:f>
        <x:v>1</x:v>
      </x:c>
      <x:c r="O10" s="6" t="n">
        <x:f>IF(AND(J10&lt;&gt;"",COUNTIF($H$2:$H$13,J10)+COUNTIF($J$2:$J$13,J10)=1),1,0)</x:f>
        <x:v>1</x:v>
      </x:c>
      <x:c r="P10" s="6" t="n">
        <x:f>IF(AND(F10&lt;&gt;"",COUNTIF($F$2:$F$13,F10)=1),1,0)</x:f>
        <x:v>1</x:v>
      </x:c>
    </x:row>
    <x:row r="11" ht="29" customHeight="1">
      <x:c r="A11" s="6" t="str">
        <x:v>MH-010</x:v>
      </x:c>
      <x:c r="B11" s="6" t="str">
        <x:v>Linen Curtain, 220 | Morrow Home</x:v>
      </x:c>
      <x:c r="C11" s="6" t="n">
        <x:f>LEN(B11)</x:f>
        <x:v>32</x:v>
      </x:c>
      <x:c r="D11" s="6" t="str">
        <x:v>A linen curtain assigned to the Bedroom collection. Explore its planned Morrow Home room collection and organized catalogue details.</x:v>
      </x:c>
      <x:c r="E11" s="6" t="n">
        <x:f>LEN(D11)</x:f>
        <x:v>132</x:v>
      </x:c>
      <x:c r="F11" s="6" t="str">
        <x:v>linen-curtain-220</x:v>
      </x:c>
      <x:c r="G11" s="6" t="str">
        <x:v>linen-curtain-220-full.jpg</x:v>
      </x:c>
      <x:c r="H11" s="6" t="str">
        <x:v>Full view of the linen curtain</x:v>
      </x:c>
      <x:c r="I11" s="6" t="str">
        <x:v>linen-curtain-220-fold.jpg</x:v>
      </x:c>
      <x:c r="J11" s="6" t="str">
        <x:v>Folded linen curtain</x:v>
      </x:c>
      <x:c r="K11" s="6" t="str">
        <x:f>IF(AND(C11&lt;=60,C11&gt;0,E11&gt;=120,E11&lt;=160,L11=1,M11=1,N11=1,O11=1,P11=1),"PASS","REVIEW")</x:f>
        <x:v>PASS</x:v>
      </x:c>
      <x:c r="L11" s="6" t="n">
        <x:f>IF(AND(G11&lt;&gt;"",COUNTIF($G$2:$G$13,G11)+COUNTIF($I$2:$I$13,G11)=1),1,0)</x:f>
        <x:v>1</x:v>
      </x:c>
      <x:c r="M11" s="6" t="n">
        <x:f>IF(AND(I11&lt;&gt;"",COUNTIF($G$2:$G$13,I11)+COUNTIF($I$2:$I$13,I11)=1),1,0)</x:f>
        <x:v>1</x:v>
      </x:c>
      <x:c r="N11" s="6" t="n">
        <x:f>IF(AND(H11&lt;&gt;"",COUNTIF($H$2:$H$13,H11)+COUNTIF($J$2:$J$13,H11)=1),1,0)</x:f>
        <x:v>1</x:v>
      </x:c>
      <x:c r="O11" s="6" t="n">
        <x:f>IF(AND(J11&lt;&gt;"",COUNTIF($H$2:$H$13,J11)+COUNTIF($J$2:$J$13,J11)=1),1,0)</x:f>
        <x:v>1</x:v>
      </x:c>
      <x:c r="P11" s="6" t="n">
        <x:f>IF(AND(F11&lt;&gt;"",COUNTIF($F$2:$F$13,F11)=1),1,0)</x:f>
        <x:v>1</x:v>
      </x:c>
    </x:row>
    <x:row r="12" ht="29" customHeight="1">
      <x:c r="A12" s="6" t="str">
        <x:v>MH-011</x:v>
      </x:c>
      <x:c r="B12" s="6" t="str">
        <x:v>Metal Floor Lamp | Morrow Home</x:v>
      </x:c>
      <x:c r="C12" s="6" t="n">
        <x:f>LEN(B12)</x:f>
        <x:v>30</x:v>
      </x:c>
      <x:c r="D12" s="6" t="str">
        <x:v>A black metal floor lamp for the Living Room collection. Explore its planned Morrow Home room collection and organized catalogue details.</x:v>
      </x:c>
      <x:c r="E12" s="6" t="n">
        <x:f>LEN(D12)</x:f>
        <x:v>137</x:v>
      </x:c>
      <x:c r="F12" s="6" t="str">
        <x:v>metal-floor-lamp</x:v>
      </x:c>
      <x:c r="G12" s="6" t="str">
        <x:v>metal-floor-lamp-black-front.jpg</x:v>
      </x:c>
      <x:c r="H12" s="6" t="str">
        <x:v>Front view of the black metal floor lamp</x:v>
      </x:c>
      <x:c r="I12" s="6" t="str">
        <x:v>metal-floor-lamp-black-side.jpg</x:v>
      </x:c>
      <x:c r="J12" s="6" t="str">
        <x:v>Side view of the black metal floor lamp</x:v>
      </x:c>
      <x:c r="K12" s="6" t="str">
        <x:f>IF(AND(C12&lt;=60,C12&gt;0,E12&gt;=120,E12&lt;=160,L12=1,M12=1,N12=1,O12=1,P12=1),"PASS","REVIEW")</x:f>
        <x:v>PASS</x:v>
      </x:c>
      <x:c r="L12" s="6" t="n">
        <x:f>IF(AND(G12&lt;&gt;"",COUNTIF($G$2:$G$13,G12)+COUNTIF($I$2:$I$13,G12)=1),1,0)</x:f>
        <x:v>1</x:v>
      </x:c>
      <x:c r="M12" s="6" t="n">
        <x:f>IF(AND(I12&lt;&gt;"",COUNTIF($G$2:$G$13,I12)+COUNTIF($I$2:$I$13,I12)=1),1,0)</x:f>
        <x:v>1</x:v>
      </x:c>
      <x:c r="N12" s="6" t="n">
        <x:f>IF(AND(H12&lt;&gt;"",COUNTIF($H$2:$H$13,H12)+COUNTIF($J$2:$J$13,H12)=1),1,0)</x:f>
        <x:v>1</x:v>
      </x:c>
      <x:c r="O12" s="6" t="n">
        <x:f>IF(AND(J12&lt;&gt;"",COUNTIF($H$2:$H$13,J12)+COUNTIF($J$2:$J$13,J12)=1),1,0)</x:f>
        <x:v>1</x:v>
      </x:c>
      <x:c r="P12" s="6" t="n">
        <x:f>IF(AND(F12&lt;&gt;"",COUNTIF($F$2:$F$13,F12)=1),1,0)</x:f>
        <x:v>1</x:v>
      </x:c>
    </x:row>
    <x:row r="13" ht="29" customHeight="1">
      <x:c r="A13" s="6" t="str">
        <x:v>MH-012</x:v>
      </x:c>
      <x:c r="B13" s="6" t="str">
        <x:v>Oak and Metal Hook Rack, 5 | Morrow Home</x:v>
      </x:c>
      <x:c r="C13" s="6" t="n">
        <x:f>LEN(B13)</x:f>
        <x:v>40</x:v>
      </x:c>
      <x:c r="D13" s="6" t="str">
        <x:v>An oak and metal hook rack for the Storage &amp; Entryway collection. Explore its planned Morrow Home room collection and organized catalogue details.</x:v>
      </x:c>
      <x:c r="E13" s="6" t="n">
        <x:f>LEN(D13)</x:f>
        <x:v>146</x:v>
      </x:c>
      <x:c r="F13" s="6" t="str">
        <x:v>oak-metal-hook-rack-5</x:v>
      </x:c>
      <x:c r="G13" s="6" t="str">
        <x:v>oak-metal-hook-rack-5-front.jpg</x:v>
      </x:c>
      <x:c r="H13" s="6" t="str">
        <x:v>Front view of the oak and metal hook rack</x:v>
      </x:c>
      <x:c r="I13" s="6" t="str">
        <x:v>oak-metal-hook-rack-5-angle.jpg</x:v>
      </x:c>
      <x:c r="J13" s="6" t="str">
        <x:v>Angled view of the oak and metal hook rack</x:v>
      </x:c>
      <x:c r="K13" s="6" t="str">
        <x:f>IF(AND(C13&lt;=60,C13&gt;0,E13&gt;=120,E13&lt;=160,L13=1,M13=1,N13=1,O13=1,P13=1),"PASS","REVIEW")</x:f>
        <x:v>PASS</x:v>
      </x:c>
      <x:c r="L13" s="6" t="n">
        <x:f>IF(AND(G13&lt;&gt;"",COUNTIF($G$2:$G$13,G13)+COUNTIF($I$2:$I$13,G13)=1),1,0)</x:f>
        <x:v>1</x:v>
      </x:c>
      <x:c r="M13" s="6" t="n">
        <x:f>IF(AND(I13&lt;&gt;"",COUNTIF($G$2:$G$13,I13)+COUNTIF($I$2:$I$13,I13)=1),1,0)</x:f>
        <x:v>1</x:v>
      </x:c>
      <x:c r="N13" s="6" t="n">
        <x:f>IF(AND(H13&lt;&gt;"",COUNTIF($H$2:$H$13,H13)+COUNTIF($J$2:$J$13,H13)=1),1,0)</x:f>
        <x:v>1</x:v>
      </x:c>
      <x:c r="O13" s="6" t="n">
        <x:f>IF(AND(J13&lt;&gt;"",COUNTIF($H$2:$H$13,J13)+COUNTIF($J$2:$J$13,J13)=1),1,0)</x:f>
        <x:v>1</x:v>
      </x:c>
      <x:c r="P13" s="6" t="n">
        <x:f>IF(AND(F13&lt;&gt;"",COUNTIF($F$2:$F$13,F13)=1),1,0)</x:f>
        <x:v>1</x:v>
      </x:c>
    </x:row>
    <x:row r="14" ht="29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 ht="29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5" hidden="0" customWidth="1"/>
    <x:col min="3" max="3" width="52" hidden="0" customWidth="1"/>
    <x:col min="4" max="4" width="78" hidden="0" customWidth="1"/>
    <x:col min="5" max="5" width="19" hidden="0" customWidth="1"/>
  </x:cols>
  <x:sheetData>
    <x:row r="1" ht="34" customHeight="1">
      <x:c r="A1" s="5" t="str">
        <x:v>Check</x:v>
      </x:c>
      <x:c r="B1" s="5" t="str">
        <x:v>Expected</x:v>
      </x:c>
      <x:c r="C1" s="5" t="str">
        <x:v>Observed / Test State</x:v>
      </x:c>
      <x:c r="D1" s="5" t="str">
        <x:v>Action / Interpretation</x:v>
      </x:c>
      <x:c r="E1" s="5" t="str">
        <x:v>Final Result</x:v>
      </x:c>
    </x:row>
    <x:row r="2" ht="29" customHeight="1">
      <x:c r="A2" s="6" t="str">
        <x:v>Product coverage</x:v>
      </x:c>
      <x:c r="B2" s="6" t="str">
        <x:v>12 products</x:v>
      </x:c>
      <x:c r="C2" s="6" t="n">
        <x:f>COUNTA('Taxonomy Map'!A2:A13)</x:f>
        <x:v>12</x:v>
      </x:c>
      <x:c r="D2" s="6" t="str">
        <x:v>Objective workbook check</x:v>
      </x:c>
      <x:c r="E2" s="6" t="str">
        <x:f>IF(C2=12,"PASS","REVIEW")</x:f>
        <x:v>PASS</x:v>
      </x:c>
    </x:row>
    <x:row r="3" ht="29" customHeight="1">
      <x:c r="A3" s="6" t="str">
        <x:v>Collection coverage</x:v>
      </x:c>
      <x:c r="B3" s="6" t="str">
        <x:v>4 collections; 6 / 2 / 2 / 2</x:v>
      </x:c>
      <x:c r="C3" s="6" t="str">
        <x:f>COUNTA('Collection Map'!A2:A5)&amp;" collections; "&amp;'Collection Map'!D2&amp;" / "&amp;'Collection Map'!D3&amp;" / "&amp;'Collection Map'!D4&amp;" / "&amp;'Collection Map'!D5</x:f>
        <x:v>4 collections; 6 / 2 / 2 / 2</x:v>
      </x:c>
      <x:c r="D3" s="6" t="str">
        <x:v>Objective workbook check</x:v>
      </x:c>
      <x:c r="E3" s="6" t="str">
        <x:f>IF(AND(COUNTIF('Collection Map'!F2:F5,"PASS")=4,SUM('Collection Map'!D2:D5)=12),"PASS","REVIEW")</x:f>
        <x:v>PASS</x:v>
      </x:c>
    </x:row>
    <x:row r="4" ht="29" customHeight="1">
      <x:c r="A4" s="6" t="str">
        <x:v>Navigation targets</x:v>
      </x:c>
      <x:c r="B4" s="6" t="str">
        <x:v>5 distinct final targets</x:v>
      </x:c>
      <x:c r="C4" s="6" t="str">
        <x:f>COUNTA('Navigation Map'!E2:E6)&amp;" final targets"</x:f>
        <x:v>5 final targets</x:v>
      </x:c>
      <x:c r="D4" s="6" t="str">
        <x:v>Objective workbook check</x:v>
      </x:c>
      <x:c r="E4" s="6" t="str">
        <x:f>IF(AND(COUNTA('Navigation Map'!E2:E6)=5,COUNTIF('Navigation Map'!H2:H6,"PASS")=5),"PASS","REVIEW")</x:f>
        <x:v>PASS</x:v>
      </x:c>
    </x:row>
    <x:row r="5" ht="29" customHeight="1">
      <x:c r="A5" s="6" t="str">
        <x:v>Workspace correction</x:v>
      </x:c>
      <x:c r="B5" s="6" t="str">
        <x:v>Pre-check bedroom; final workspace</x:v>
      </x:c>
      <x:c r="C5" s="6" t="str">
        <x:f>'Navigation Map'!C5&amp;" → "&amp;'Navigation Map'!E5</x:f>
        <x:v>/collections/bedroom → /collections/workspace</x:v>
      </x:c>
      <x:c r="D5" s="6" t="str">
        <x:v>Objective workbook check</x:v>
      </x:c>
      <x:c r="E5" s="6" t="str">
        <x:f>IF(AND('Navigation Map'!G5="MISMATCH",'Navigation Map'!H5="PASS",'Navigation Map'!E5="/collections/workspace"),"PASS","REVIEW")</x:f>
        <x:v>PASS</x:v>
      </x:c>
    </x:row>
    <x:row r="6" ht="29" customHeight="1">
      <x:c r="A6" s="6" t="str">
        <x:v>Product handles</x:v>
      </x:c>
      <x:c r="B6" s="6" t="str">
        <x:v>12 unique handles</x:v>
      </x:c>
      <x:c r="C6" s="6" t="str">
        <x:f>SUM('SEO &amp; Media'!P2:P13)&amp;" unique"</x:f>
        <x:v>12 unique</x:v>
      </x:c>
      <x:c r="D6" s="6" t="str">
        <x:v>Objective workbook check</x:v>
      </x:c>
      <x:c r="E6" s="6" t="str">
        <x:f>IF(AND(SUM('SEO &amp; Media'!P2:P13)=12,'SEO &amp; Media'!F12="metal-floor-lamp"),"PASS","REVIEW")</x:f>
        <x:v>PASS</x:v>
      </x:c>
    </x:row>
    <x:row r="7" ht="29" customHeight="1">
      <x:c r="A7" s="6" t="str">
        <x:v>SEO titles</x:v>
      </x:c>
      <x:c r="B7" s="6" t="str">
        <x:v>12 records within internal project standard ≤60 chars</x:v>
      </x:c>
      <x:c r="C7" s="6" t="str">
        <x:f>COUNT('SEO &amp; Media'!C2:C13)&amp;" records"</x:f>
        <x:v>12 records</x:v>
      </x:c>
      <x:c r="D7" s="6" t="str">
        <x:v>Objective workbook check</x:v>
      </x:c>
      <x:c r="E7" s="6" t="str">
        <x:f>IF(AND(COUNT('SEO &amp; Media'!C2:C13)=12,COUNTIF('SEO &amp; Media'!C2:C13,"&gt;60")=0,COUNTBLANK('SEO &amp; Media'!B2:B13)=0),"PASS","REVIEW")</x:f>
        <x:v>PASS</x:v>
      </x:c>
    </x:row>
    <x:row r="8" ht="29" customHeight="1">
      <x:c r="A8" s="6" t="str">
        <x:v>Meta descriptions</x:v>
      </x:c>
      <x:c r="B8" s="6" t="str">
        <x:v>12 records within internal project standard 120–160 chars</x:v>
      </x:c>
      <x:c r="C8" s="6" t="str">
        <x:f>COUNT('SEO &amp; Media'!E2:E13)&amp;" records"</x:f>
        <x:v>12 records</x:v>
      </x:c>
      <x:c r="D8" s="6" t="str">
        <x:v>Objective workbook check</x:v>
      </x:c>
      <x:c r="E8" s="6" t="str">
        <x:f>IF(AND(COUNT('SEO &amp; Media'!E2:E13)=12,COUNTIF('SEO &amp; Media'!E2:E13,"&lt;120")=0,COUNTIF('SEO &amp; Media'!E2:E13,"&gt;160")=0,COUNTBLANK('SEO &amp; Media'!D2:D13)=0),"PASS","REVIEW")</x:f>
        <x:v>PASS</x:v>
      </x:c>
    </x:row>
    <x:row r="9" ht="29" customHeight="1">
      <x:c r="A9" s="6" t="str">
        <x:v>Media filenames</x:v>
      </x:c>
      <x:c r="B9" s="6" t="str">
        <x:v>24 filenames; all unique</x:v>
      </x:c>
      <x:c r="C9" s="6" t="str">
        <x:f>SUM('SEO &amp; Media'!L2:M13)&amp;" unique of "&amp;(COUNTA('SEO &amp; Media'!G2:G13)+COUNTA('SEO &amp; Media'!I2:I13))</x:f>
        <x:v>24 unique of 24</x:v>
      </x:c>
      <x:c r="D9" s="6" t="str">
        <x:v>Objective workbook check</x:v>
      </x:c>
      <x:c r="E9" s="6" t="str">
        <x:f>IF(AND(SUM('SEO &amp; Media'!L2:M13)=24,COUNTA('SEO &amp; Media'!G2:G13)+COUNTA('SEO &amp; Media'!I2:I13)=24),"PASS","REVIEW")</x:f>
        <x:v>PASS</x:v>
      </x:c>
    </x:row>
    <x:row r="10" ht="29" customHeight="1">
      <x:c r="A10" s="6" t="str">
        <x:v>Image alt text</x:v>
      </x:c>
      <x:c r="B10" s="6" t="str">
        <x:v>24 image-specific entries; all unique</x:v>
      </x:c>
      <x:c r="C10" s="6" t="str">
        <x:f>SUM('SEO &amp; Media'!N2:O13)&amp;" unique of "&amp;(COUNTA('SEO &amp; Media'!H2:H13)+COUNTA('SEO &amp; Media'!J2:J13))</x:f>
        <x:v>24 unique of 24</x:v>
      </x:c>
      <x:c r="D10" s="6" t="str">
        <x:v>Objective workbook check</x:v>
      </x:c>
      <x:c r="E10" s="6" t="str">
        <x:f>IF(AND(SUM('SEO &amp; Media'!N2:O13)=24,COUNTA('SEO &amp; Media'!H2:H13)+COUNTA('SEO &amp; Media'!J2:J13)=24),"PASS","REVIEW")</x:f>
        <x:v>PASS</x:v>
      </x:c>
    </x:row>
    <x:row r="11" ht="29" customHeight="1">
      <x:c r="A11" s="6" t="str">
        <x:v>Product copy</x:v>
      </x:c>
      <x:c r="B11" s="6" t="str">
        <x:v>12 based on source fields and documented merchandising decisions</x:v>
      </x:c>
      <x:c r="C11" s="6" t="str">
        <x:f>COUNTIF('Product Copy'!F2:F13,"PASS")&amp;"/12 required fields aligned"</x:f>
        <x:v>12/12 required fields aligned</x:v>
      </x:c>
      <x:c r="D11" s="6" t="str">
        <x:v>Editorial/source accuracy reviewed against Source Brief; room basis documented</x:v>
      </x:c>
      <x:c r="E11" s="6" t="str">
        <x:f>IF(COUNTIF('Product Copy'!F2:F13,"PASS")=12,"PASS","REVIEW")</x:f>
        <x:v>PASS</x:v>
      </x:c>
    </x:row>
    <x:row r="12" ht="29" customHeight="1">
      <x:c r="A12" s="6"/>
      <x:c r="B12" s="6"/>
      <x:c r="C12" s="6"/>
      <x:c r="D12" s="6"/>
      <x:c r="E12" s="6"/>
    </x:row>
    <x:row r="13" ht="29" customHeight="1">
      <x:c r="A13" s="6"/>
      <x:c r="B13" s="6"/>
      <x:c r="C13" s="6"/>
      <x:c r="D13" s="6"/>
      <x:c r="E13" s="6"/>
    </x:row>
    <x:row r="14" ht="29" customHeight="1">
      <x:c r="A14" s="6"/>
      <x:c r="B14" s="6"/>
      <x:c r="C14" s="6"/>
      <x:c r="D14" s="6"/>
      <x:c r="E14" s="6"/>
    </x:row>
    <x:row r="15" ht="29" customHeight="1">
      <x:c r="A15" s="6"/>
      <x:c r="B15" s="6"/>
      <x:c r="C15" s="6"/>
      <x:c r="D15" s="6"/>
      <x:c r="E15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43" hidden="0" customWidth="1"/>
    <x:col min="4" max="4" width="24" hidden="0" customWidth="1"/>
    <x:col min="5" max="5" width="28" hidden="0" customWidth="1"/>
    <x:col min="6" max="6" width="55" hidden="0" customWidth="1"/>
    <x:col min="7" max="7" width="26" hidden="0" customWidth="1"/>
    <x:col min="8" max="8" width="18" hidden="0" customWidth="1"/>
    <x:col min="9" max="9" width="50" hidden="0" customWidth="1"/>
    <x:col min="10" max="10" width="105" hidden="0" customWidth="1"/>
    <x:col min="11" max="11" width="50" hidden="0" customWidth="1"/>
    <x:col min="12" max="12" width="70" hidden="0" customWidth="1"/>
    <x:col min="13" max="13" width="50" hidden="0" customWidth="1"/>
    <x:col min="14" max="14" width="70" hidden="0" customWidth="1"/>
    <x:col min="15" max="15" width="16" hidden="0" customWidth="1"/>
  </x:cols>
  <x:sheetData>
    <x:row r="1" ht="34" customHeight="1">
      <x:c r="A1" s="5" t="str">
        <x:v>ID</x:v>
      </x:c>
      <x:c r="B1" s="5" t="str">
        <x:v>Title</x:v>
      </x:c>
      <x:c r="C1" s="5" t="str">
        <x:v>Handle</x:v>
      </x:c>
      <x:c r="D1" s="5" t="str">
        <x:v>Product Type</x:v>
      </x:c>
      <x:c r="E1" s="5" t="str">
        <x:v>Primary Collection</x:v>
      </x:c>
      <x:c r="F1" s="5" t="str">
        <x:v>Room Basis</x:v>
      </x:c>
      <x:c r="G1" s="5" t="str">
        <x:v>Material (source)</x:v>
      </x:c>
      <x:c r="H1" s="5" t="str">
        <x:v>Price (source)</x:v>
      </x:c>
      <x:c r="I1" s="5" t="str">
        <x:v>SEO Title</x:v>
      </x:c>
      <x:c r="J1" s="5" t="str">
        <x:v>Meta Description</x:v>
      </x:c>
      <x:c r="K1" s="5" t="str">
        <x:v>Image 1 Filename</x:v>
      </x:c>
      <x:c r="L1" s="5" t="str">
        <x:v>Image Alt 1</x:v>
      </x:c>
      <x:c r="M1" s="5" t="str">
        <x:v>Image 2 Filename</x:v>
      </x:c>
      <x:c r="N1" s="5" t="str">
        <x:v>Image Alt 2</x:v>
      </x:c>
      <x:c r="O1" s="5" t="str">
        <x:v>QA</x:v>
      </x:c>
    </x:row>
    <x:row r="2" ht="29" customHeight="1">
      <x:c r="A2" s="6" t="str">
        <x:f>'Taxonomy Map'!A2</x:f>
        <x:v>MH-001</x:v>
      </x:c>
      <x:c r="B2" s="6" t="str">
        <x:f>'Product Copy'!B2</x:f>
        <x:v>Arc Lamp</x:v>
      </x:c>
      <x:c r="C2" s="6" t="str">
        <x:f>'SEO &amp; Media'!F2</x:f>
        <x:v>arc-lamp</x:v>
      </x:c>
      <x:c r="D2" s="6" t="str">
        <x:f>'Taxonomy Map'!D2</x:f>
        <x:v>Lamp</x:v>
      </x:c>
      <x:c r="E2" s="6" t="str">
        <x:f>'Taxonomy Map'!F2</x:f>
        <x:v>Living Room</x:v>
      </x:c>
      <x:c r="F2" s="6" t="str">
        <x:f>'Taxonomy Map'!I2</x:f>
        <x:v>Normalized from Source Room</x:v>
      </x:c>
      <x:c r="G2" s="6" t="str">
        <x:f>'Taxonomy Map'!G2</x:f>
        <x:v>metal</x:v>
      </x:c>
      <x:c r="H2" s="6" t="n">
        <x:f>'Source Brief'!G2</x:f>
        <x:v>79</x:v>
      </x:c>
      <x:c r="I2" s="6" t="str">
        <x:f>'SEO &amp; Media'!B2</x:f>
        <x:v>Arc Lamp | Morrow Home</x:v>
      </x:c>
      <x:c r="J2" s="6" t="str">
        <x:f>'SEO &amp; Media'!D2</x:f>
        <x:v>A metal arc lamp for the Living Room collection. Explore its planned Morrow Home room collection and organized catalogue details.</x:v>
      </x:c>
      <x:c r="K2" s="6" t="str">
        <x:f>'SEO &amp; Media'!G2</x:f>
        <x:v>arc-lamp-front.jpg</x:v>
      </x:c>
      <x:c r="L2" s="6" t="str">
        <x:f>'SEO &amp; Media'!H2</x:f>
        <x:v>Front view of the metal arc lamp</x:v>
      </x:c>
      <x:c r="M2" s="6" t="str">
        <x:f>'SEO &amp; Media'!I2</x:f>
        <x:v>arc-lamp-side.jpg</x:v>
      </x:c>
      <x:c r="N2" s="6" t="str">
        <x:f>'SEO &amp; Media'!J2</x:f>
        <x:v>Side view of the metal arc lamp</x:v>
      </x:c>
      <x:c r="O2" s="6" t="str">
        <x:f>IF(AND(A2&lt;&gt;"",B2&lt;&gt;"",C2&lt;&gt;"",D2&lt;&gt;"",E2&lt;&gt;"",F2&lt;&gt;"",G2&lt;&gt;"",ISNUMBER(H2),I2&lt;&gt;"",J2&lt;&gt;"",K2&lt;&gt;"",L2&lt;&gt;"",M2&lt;&gt;"",N2&lt;&gt;"",'Taxonomy Map'!J2="PASS",'Product Copy'!F2="PASS",'SEO &amp; Media'!K2="PASS"),"PASS","REVIEW")</x:f>
        <x:v>PASS</x:v>
      </x:c>
    </x:row>
    <x:row r="3" ht="29" customHeight="1">
      <x:c r="A3" s="6" t="str">
        <x:f>'Taxonomy Map'!A3</x:f>
        <x:v>MH-002</x:v>
      </x:c>
      <x:c r="B3" s="6" t="str">
        <x:f>'Product Copy'!B3</x:f>
        <x:v>Linen Pillow Cover</x:v>
      </x:c>
      <x:c r="C3" s="6" t="str">
        <x:f>'SEO &amp; Media'!F3</x:f>
        <x:v>linen-pillow-cover</x:v>
      </x:c>
      <x:c r="D3" s="6" t="str">
        <x:f>'Taxonomy Map'!D3</x:f>
        <x:v>Pillow Cover</x:v>
      </x:c>
      <x:c r="E3" s="6" t="str">
        <x:f>'Taxonomy Map'!F3</x:f>
        <x:v>Living Room</x:v>
      </x:c>
      <x:c r="F3" s="6" t="str">
        <x:f>'Taxonomy Map'!I3</x:f>
        <x:v>Normalized from Source Room</x:v>
      </x:c>
      <x:c r="G3" s="6" t="str">
        <x:f>'Taxonomy Map'!G3</x:f>
        <x:v>linen</x:v>
      </x:c>
      <x:c r="H3" s="6" t="n">
        <x:f>'Source Brief'!G3</x:f>
        <x:v>34</x:v>
      </x:c>
      <x:c r="I3" s="6" t="str">
        <x:f>'SEO &amp; Media'!B3</x:f>
        <x:v>Linen Pillow Cover | Morrow Home</x:v>
      </x:c>
      <x:c r="J3" s="6" t="str">
        <x:f>'SEO &amp; Media'!D3</x:f>
        <x:v>A linen pillow cover for the Living Room collection. Explore its planned Morrow Home room collection and organized catalogue details.</x:v>
      </x:c>
      <x:c r="K3" s="6" t="str">
        <x:f>'SEO &amp; Media'!G3</x:f>
        <x:v>linen-pillow-cover-front.jpg</x:v>
      </x:c>
      <x:c r="L3" s="6" t="str">
        <x:f>'SEO &amp; Media'!H3</x:f>
        <x:v>Front view of the linen pillow cover</x:v>
      </x:c>
      <x:c r="M3" s="6" t="str">
        <x:f>'SEO &amp; Media'!I3</x:f>
        <x:v>linen-pillow-cover-back.jpg</x:v>
      </x:c>
      <x:c r="N3" s="6" t="str">
        <x:f>'SEO &amp; Media'!J3</x:f>
        <x:v>Back view of the linen pillow cover</x:v>
      </x:c>
      <x:c r="O3" s="6" t="str">
        <x:f>IF(AND(A3&lt;&gt;"",B3&lt;&gt;"",C3&lt;&gt;"",D3&lt;&gt;"",E3&lt;&gt;"",F3&lt;&gt;"",G3&lt;&gt;"",ISNUMBER(H3),I3&lt;&gt;"",J3&lt;&gt;"",K3&lt;&gt;"",L3&lt;&gt;"",M3&lt;&gt;"",N3&lt;&gt;"",'Taxonomy Map'!J3="PASS",'Product Copy'!F3="PASS",'SEO &amp; Media'!K3="PASS"),"PASS","REVIEW")</x:f>
        <x:v>PASS</x:v>
      </x:c>
    </x:row>
    <x:row r="4" ht="29" customHeight="1">
      <x:c r="A4" s="6" t="str">
        <x:f>'Taxonomy Map'!A4</x:f>
        <x:v>MH-003</x:v>
      </x:c>
      <x:c r="B4" s="6" t="str">
        <x:f>'Product Copy'!B4</x:f>
        <x:v>Oak Shelf, 60</x:v>
      </x:c>
      <x:c r="C4" s="6" t="str">
        <x:f>'SEO &amp; Media'!F4</x:f>
        <x:v>oak-shelf-60</x:v>
      </x:c>
      <x:c r="D4" s="6" t="str">
        <x:f>'Taxonomy Map'!D4</x:f>
        <x:v>Shelf</x:v>
      </x:c>
      <x:c r="E4" s="6" t="str">
        <x:f>'Taxonomy Map'!F4</x:f>
        <x:v>Workspace</x:v>
      </x:c>
      <x:c r="F4" s="6" t="str">
        <x:f>'Taxonomy Map'!I4</x:f>
        <x:v>Normalized from Source Room</x:v>
      </x:c>
      <x:c r="G4" s="6" t="str">
        <x:f>'Taxonomy Map'!G4</x:f>
        <x:v>Oak</x:v>
      </x:c>
      <x:c r="H4" s="6" t="n">
        <x:f>'Source Brief'!G4</x:f>
        <x:v>58</x:v>
      </x:c>
      <x:c r="I4" s="6" t="str">
        <x:f>'SEO &amp; Media'!B4</x:f>
        <x:v>Oak Shelf, 60 | Morrow Home</x:v>
      </x:c>
      <x:c r="J4" s="6" t="str">
        <x:f>'SEO &amp; Media'!D4</x:f>
        <x:v>An oak shelf assigned to the Workspace collection. Explore its planned Morrow Home room collection and organized catalogue details.</x:v>
      </x:c>
      <x:c r="K4" s="6" t="str">
        <x:f>'SEO &amp; Media'!G4</x:f>
        <x:v>oak-shelf-60-front.jpg</x:v>
      </x:c>
      <x:c r="L4" s="6" t="str">
        <x:f>'SEO &amp; Media'!H4</x:f>
        <x:v>Front view of the oak shelf</x:v>
      </x:c>
      <x:c r="M4" s="6" t="str">
        <x:f>'SEO &amp; Media'!I4</x:f>
        <x:v>oak-shelf-60-detail.jpg</x:v>
      </x:c>
      <x:c r="N4" s="6" t="str">
        <x:f>'SEO &amp; Media'!J4</x:f>
        <x:v>Detail view of the oak shelf</x:v>
      </x:c>
      <x:c r="O4" s="6" t="str">
        <x:f>IF(AND(A4&lt;&gt;"",B4&lt;&gt;"",C4&lt;&gt;"",D4&lt;&gt;"",E4&lt;&gt;"",F4&lt;&gt;"",G4&lt;&gt;"",ISNUMBER(H4),I4&lt;&gt;"",J4&lt;&gt;"",K4&lt;&gt;"",L4&lt;&gt;"",M4&lt;&gt;"",N4&lt;&gt;"",'Taxonomy Map'!J4="PASS",'Product Copy'!F4="PASS",'SEO &amp; Media'!K4="PASS"),"PASS","REVIEW")</x:f>
        <x:v>PASS</x:v>
      </x:c>
    </x:row>
    <x:row r="5" ht="29" customHeight="1">
      <x:c r="A5" s="6" t="str">
        <x:f>'Taxonomy Map'!A5</x:f>
        <x:v>MH-004</x:v>
      </x:c>
      <x:c r="B5" s="6" t="str">
        <x:f>'Product Copy'!B5</x:f>
        <x:v>Large Seagrass Storage Basket</x:v>
      </x:c>
      <x:c r="C5" s="6" t="str">
        <x:f>'SEO &amp; Media'!F5</x:f>
        <x:v>large-seagrass-storage-basket</x:v>
      </x:c>
      <x:c r="D5" s="6" t="str">
        <x:f>'Taxonomy Map'!D5</x:f>
        <x:v>Storage Basket</x:v>
      </x:c>
      <x:c r="E5" s="6" t="str">
        <x:f>'Taxonomy Map'!F5</x:f>
        <x:v>Storage &amp; Entryway</x:v>
      </x:c>
      <x:c r="F5" s="6" t="str">
        <x:f>'Taxonomy Map'!I5</x:f>
        <x:v>Normalized from Source Room</x:v>
      </x:c>
      <x:c r="G5" s="6" t="str">
        <x:f>'Taxonomy Map'!G5</x:f>
        <x:v>Seagrass</x:v>
      </x:c>
      <x:c r="H5" s="6" t="n">
        <x:f>'Source Brief'!G5</x:f>
        <x:v>42</x:v>
      </x:c>
      <x:c r="I5" s="6" t="str">
        <x:f>'SEO &amp; Media'!B5</x:f>
        <x:v>Large Seagrass Storage Basket | Morrow Home</x:v>
      </x:c>
      <x:c r="J5" s="6" t="str">
        <x:f>'SEO &amp; Media'!D5</x:f>
        <x:v>A large seagrass storage basket for the Storage &amp; Entryway collection. Explore its planned Morrow Home room collection and organized catalogue details.</x:v>
      </x:c>
      <x:c r="K5" s="6" t="str">
        <x:f>'SEO &amp; Media'!G5</x:f>
        <x:v>large-seagrass-storage-basket-front.jpg</x:v>
      </x:c>
      <x:c r="L5" s="6" t="str">
        <x:f>'SEO &amp; Media'!H5</x:f>
        <x:v>Front view of the large seagrass storage basket</x:v>
      </x:c>
      <x:c r="M5" s="6" t="str">
        <x:f>'SEO &amp; Media'!I5</x:f>
        <x:v>large-seagrass-storage-basket-detail.jpg</x:v>
      </x:c>
      <x:c r="N5" s="6" t="str">
        <x:f>'SEO &amp; Media'!J5</x:f>
        <x:v>Detail view of the large seagrass storage basket</x:v>
      </x:c>
      <x:c r="O5" s="6" t="str">
        <x:f>IF(AND(A5&lt;&gt;"",B5&lt;&gt;"",C5&lt;&gt;"",D5&lt;&gt;"",E5&lt;&gt;"",F5&lt;&gt;"",G5&lt;&gt;"",ISNUMBER(H5),I5&lt;&gt;"",J5&lt;&gt;"",K5&lt;&gt;"",L5&lt;&gt;"",M5&lt;&gt;"",N5&lt;&gt;"",'Taxonomy Map'!J5="PASS",'Product Copy'!F5="PASS",'SEO &amp; Media'!K5="PASS"),"PASS","REVIEW")</x:f>
        <x:v>PASS</x:v>
      </x:c>
    </x:row>
    <x:row r="6" ht="29" customHeight="1">
      <x:c r="A6" s="6" t="str">
        <x:f>'Taxonomy Map'!A6</x:f>
        <x:v>MH-005</x:v>
      </x:c>
      <x:c r="B6" s="6" t="str">
        <x:f>'Product Copy'!B6</x:f>
        <x:v>Cotton Throw Blanket</x:v>
      </x:c>
      <x:c r="C6" s="6" t="str">
        <x:f>'SEO &amp; Media'!F6</x:f>
        <x:v>cotton-throw-blanket</x:v>
      </x:c>
      <x:c r="D6" s="6" t="str">
        <x:f>'Taxonomy Map'!D6</x:f>
        <x:v>Throw Blanket</x:v>
      </x:c>
      <x:c r="E6" s="6" t="str">
        <x:f>'Taxonomy Map'!F6</x:f>
        <x:v>Living Room</x:v>
      </x:c>
      <x:c r="F6" s="6" t="str">
        <x:f>'Taxonomy Map'!I6</x:f>
        <x:v>Normalized from Source Room</x:v>
      </x:c>
      <x:c r="G6" s="6" t="str">
        <x:f>'Taxonomy Map'!G6</x:f>
        <x:v>Cotton</x:v>
      </x:c>
      <x:c r="H6" s="6" t="n">
        <x:f>'Source Brief'!G6</x:f>
        <x:v>64</x:v>
      </x:c>
      <x:c r="I6" s="6" t="str">
        <x:f>'SEO &amp; Media'!B6</x:f>
        <x:v>Cotton Throw Blanket | Morrow Home</x:v>
      </x:c>
      <x:c r="J6" s="6" t="str">
        <x:f>'SEO &amp; Media'!D6</x:f>
        <x:v>A cotton throw blanket for the Living Room collection. Explore its planned Morrow Home room collection and organized catalogue details.</x:v>
      </x:c>
      <x:c r="K6" s="6" t="str">
        <x:f>'SEO &amp; Media'!G6</x:f>
        <x:v>cotton-throw-blanket-folded.jpg</x:v>
      </x:c>
      <x:c r="L6" s="6" t="str">
        <x:f>'SEO &amp; Media'!H6</x:f>
        <x:v>Folded cotton throw blanket</x:v>
      </x:c>
      <x:c r="M6" s="6" t="str">
        <x:f>'SEO &amp; Media'!I6</x:f>
        <x:v>cotton-throw-blanket-full.jpg</x:v>
      </x:c>
      <x:c r="N6" s="6" t="str">
        <x:f>'SEO &amp; Media'!J6</x:f>
        <x:v>Full view of the cotton throw blanket</x:v>
      </x:c>
      <x:c r="O6" s="6" t="str">
        <x:f>IF(AND(A6&lt;&gt;"",B6&lt;&gt;"",C6&lt;&gt;"",D6&lt;&gt;"",E6&lt;&gt;"",F6&lt;&gt;"",G6&lt;&gt;"",ISNUMBER(H6),I6&lt;&gt;"",J6&lt;&gt;"",K6&lt;&gt;"",L6&lt;&gt;"",M6&lt;&gt;"",N6&lt;&gt;"",'Taxonomy Map'!J6="PASS",'Product Copy'!F6="PASS",'SEO &amp; Media'!K6="PASS"),"PASS","REVIEW")</x:f>
        <x:v>PASS</x:v>
      </x:c>
    </x:row>
    <x:row r="7" ht="29" customHeight="1">
      <x:c r="A7" s="6" t="str">
        <x:f>'Taxonomy Map'!A7</x:f>
        <x:v>MH-006</x:v>
      </x:c>
      <x:c r="B7" s="6" t="str">
        <x:f>'Product Copy'!B7</x:f>
        <x:v>Tall Ceramic Vase</x:v>
      </x:c>
      <x:c r="C7" s="6" t="str">
        <x:f>'SEO &amp; Media'!F7</x:f>
        <x:v>tall-ceramic-vase</x:v>
      </x:c>
      <x:c r="D7" s="6" t="str">
        <x:f>'Taxonomy Map'!D7</x:f>
        <x:v>Vase</x:v>
      </x:c>
      <x:c r="E7" s="6" t="str">
        <x:f>'Taxonomy Map'!F7</x:f>
        <x:v>Living Room</x:v>
      </x:c>
      <x:c r="F7" s="6" t="str">
        <x:f>'Taxonomy Map'!I7</x:f>
        <x:v>Normalized from Source Room</x:v>
      </x:c>
      <x:c r="G7" s="6" t="str">
        <x:f>'Taxonomy Map'!G7</x:f>
        <x:v>Ceramic</x:v>
      </x:c>
      <x:c r="H7" s="6" t="n">
        <x:f>'Source Brief'!G7</x:f>
        <x:v>46</x:v>
      </x:c>
      <x:c r="I7" s="6" t="str">
        <x:f>'SEO &amp; Media'!B7</x:f>
        <x:v>Tall Ceramic Vase | Morrow Home</x:v>
      </x:c>
      <x:c r="J7" s="6" t="str">
        <x:f>'SEO &amp; Media'!D7</x:f>
        <x:v>A tall ceramic vase for the Living Room collection. Explore its planned Morrow Home room collection and organized catalogue details.</x:v>
      </x:c>
      <x:c r="K7" s="6" t="str">
        <x:f>'SEO &amp; Media'!G7</x:f>
        <x:v>tall-ceramic-vase-front.jpg</x:v>
      </x:c>
      <x:c r="L7" s="6" t="str">
        <x:f>'SEO &amp; Media'!H7</x:f>
        <x:v>Front view of the tall ceramic vase</x:v>
      </x:c>
      <x:c r="M7" s="6" t="str">
        <x:f>'SEO &amp; Media'!I7</x:f>
        <x:v>tall-ceramic-vase-detail.jpg</x:v>
      </x:c>
      <x:c r="N7" s="6" t="str">
        <x:f>'SEO &amp; Media'!J7</x:f>
        <x:v>Detail view of the tall ceramic vase</x:v>
      </x:c>
      <x:c r="O7" s="6" t="str">
        <x:f>IF(AND(A7&lt;&gt;"",B7&lt;&gt;"",C7&lt;&gt;"",D7&lt;&gt;"",E7&lt;&gt;"",F7&lt;&gt;"",G7&lt;&gt;"",ISNUMBER(H7),I7&lt;&gt;"",J7&lt;&gt;"",K7&lt;&gt;"",L7&lt;&gt;"",M7&lt;&gt;"",N7&lt;&gt;"",'Taxonomy Map'!J7="PASS",'Product Copy'!F7="PASS",'SEO &amp; Media'!K7="PASS"),"PASS","REVIEW")</x:f>
        <x:v>PASS</x:v>
      </x:c>
    </x:row>
    <x:row r="8" ht="29" customHeight="1">
      <x:c r="A8" s="6" t="str">
        <x:f>'Taxonomy Map'!A8</x:f>
        <x:v>MH-007</x:v>
      </x:c>
      <x:c r="B8" s="6" t="str">
        <x:f>'Product Copy'!B8</x:f>
        <x:v>Wood Bedside Tray</x:v>
      </x:c>
      <x:c r="C8" s="6" t="str">
        <x:f>'SEO &amp; Media'!F8</x:f>
        <x:v>wood-bedside-tray</x:v>
      </x:c>
      <x:c r="D8" s="6" t="str">
        <x:f>'Taxonomy Map'!D8</x:f>
        <x:v>Tray</x:v>
      </x:c>
      <x:c r="E8" s="6" t="str">
        <x:f>'Taxonomy Map'!F8</x:f>
        <x:v>Bedroom</x:v>
      </x:c>
      <x:c r="F8" s="6" t="str">
        <x:f>'Taxonomy Map'!I8</x:f>
        <x:v>Normalized from Source Room</x:v>
      </x:c>
      <x:c r="G8" s="6" t="str">
        <x:f>'Taxonomy Map'!G8</x:f>
        <x:v>wood</x:v>
      </x:c>
      <x:c r="H8" s="6" t="n">
        <x:f>'Source Brief'!G8</x:f>
        <x:v>29</x:v>
      </x:c>
      <x:c r="I8" s="6" t="str">
        <x:f>'SEO &amp; Media'!B8</x:f>
        <x:v>Wood Bedside Tray | Morrow Home</x:v>
      </x:c>
      <x:c r="J8" s="6" t="str">
        <x:f>'SEO &amp; Media'!D8</x:f>
        <x:v>A wood tray assigned to the Bedroom collection. Explore its planned Morrow Home room collection and organized catalogue details.</x:v>
      </x:c>
      <x:c r="K8" s="6" t="str">
        <x:f>'SEO &amp; Media'!G8</x:f>
        <x:v>wood-bedside-tray-top.jpg</x:v>
      </x:c>
      <x:c r="L8" s="6" t="str">
        <x:f>'SEO &amp; Media'!H8</x:f>
        <x:v>Top view of the wood tray</x:v>
      </x:c>
      <x:c r="M8" s="6" t="str">
        <x:f>'SEO &amp; Media'!I8</x:f>
        <x:v>wood-bedside-tray-angle.jpg</x:v>
      </x:c>
      <x:c r="N8" s="6" t="str">
        <x:f>'SEO &amp; Media'!J8</x:f>
        <x:v>Angled view of the wood tray</x:v>
      </x:c>
      <x:c r="O8" s="6" t="str">
        <x:f>IF(AND(A8&lt;&gt;"",B8&lt;&gt;"",C8&lt;&gt;"",D8&lt;&gt;"",E8&lt;&gt;"",F8&lt;&gt;"",G8&lt;&gt;"",ISNUMBER(H8),I8&lt;&gt;"",J8&lt;&gt;"",K8&lt;&gt;"",L8&lt;&gt;"",M8&lt;&gt;"",N8&lt;&gt;"",'Taxonomy Map'!J8="PASS",'Product Copy'!F8="PASS",'SEO &amp; Media'!K8="PASS"),"PASS","REVIEW")</x:f>
        <x:v>PASS</x:v>
      </x:c>
    </x:row>
    <x:row r="9" ht="29" customHeight="1">
      <x:c r="A9" s="6" t="str">
        <x:f>'Taxonomy Map'!A9</x:f>
        <x:v>MH-008</x:v>
      </x:c>
      <x:c r="B9" s="6" t="str">
        <x:f>'Product Copy'!B9</x:f>
        <x:v>Powder-Coated Steel Desk Organizer</x:v>
      </x:c>
      <x:c r="C9" s="6" t="str">
        <x:f>'SEO &amp; Media'!F9</x:f>
        <x:v>powder-coated-steel-desk-organizer</x:v>
      </x:c>
      <x:c r="D9" s="6" t="str">
        <x:f>'Taxonomy Map'!D9</x:f>
        <x:v>Desk Organizer</x:v>
      </x:c>
      <x:c r="E9" s="6" t="str">
        <x:f>'Taxonomy Map'!F9</x:f>
        <x:v>Workspace</x:v>
      </x:c>
      <x:c r="F9" s="6" t="str">
        <x:f>'Taxonomy Map'!I9</x:f>
        <x:v>Normalized from Source Room</x:v>
      </x:c>
      <x:c r="G9" s="6" t="str">
        <x:f>'Taxonomy Map'!G9</x:f>
        <x:v>Powder coated steel</x:v>
      </x:c>
      <x:c r="H9" s="6" t="n">
        <x:f>'Source Brief'!G9</x:f>
        <x:v>39</x:v>
      </x:c>
      <x:c r="I9" s="6" t="str">
        <x:f>'SEO &amp; Media'!B9</x:f>
        <x:v>Powder-Coated Steel Desk Organizer | Morrow Home</x:v>
      </x:c>
      <x:c r="J9" s="6" t="str">
        <x:f>'SEO &amp; Media'!D9</x:f>
        <x:v>A powder-coated steel desk organizer for the Workspace collection. Explore its planned Morrow Home room collection and organized catalogue details.</x:v>
      </x:c>
      <x:c r="K9" s="6" t="str">
        <x:f>'SEO &amp; Media'!G9</x:f>
        <x:v>powder-coated-steel-desk-organizer-front.jpg</x:v>
      </x:c>
      <x:c r="L9" s="6" t="str">
        <x:f>'SEO &amp; Media'!H9</x:f>
        <x:v>Front view of the powder-coated steel desk organizer</x:v>
      </x:c>
      <x:c r="M9" s="6" t="str">
        <x:f>'SEO &amp; Media'!I9</x:f>
        <x:v>powder-coated-steel-desk-organizer-top.jpg</x:v>
      </x:c>
      <x:c r="N9" s="6" t="str">
        <x:f>'SEO &amp; Media'!J9</x:f>
        <x:v>Top view of the powder-coated steel desk organizer</x:v>
      </x:c>
      <x:c r="O9" s="6" t="str">
        <x:f>IF(AND(A9&lt;&gt;"",B9&lt;&gt;"",C9&lt;&gt;"",D9&lt;&gt;"",E9&lt;&gt;"",F9&lt;&gt;"",G9&lt;&gt;"",ISNUMBER(H9),I9&lt;&gt;"",J9&lt;&gt;"",K9&lt;&gt;"",L9&lt;&gt;"",M9&lt;&gt;"",N9&lt;&gt;"",'Taxonomy Map'!J9="PASS",'Product Copy'!F9="PASS",'SEO &amp; Media'!K9="PASS"),"PASS","REVIEW")</x:f>
        <x:v>PASS</x:v>
      </x:c>
    </x:row>
    <x:row r="10" ht="29" customHeight="1">
      <x:c r="A10" s="6" t="str">
        <x:f>'Taxonomy Map'!A10</x:f>
        <x:v>MH-009</x:v>
      </x:c>
      <x:c r="B10" s="6" t="str">
        <x:f>'Product Copy'!B10</x:f>
        <x:v>Wool-Blend Rug, 160 × 230</x:v>
      </x:c>
      <x:c r="C10" s="6" t="str">
        <x:f>'SEO &amp; Media'!F10</x:f>
        <x:v>wool-blend-rug-160x230</x:v>
      </x:c>
      <x:c r="D10" s="6" t="str">
        <x:f>'Taxonomy Map'!D10</x:f>
        <x:v>Area Rug</x:v>
      </x:c>
      <x:c r="E10" s="6" t="str">
        <x:f>'Taxonomy Map'!F10</x:f>
        <x:v>Living Room</x:v>
      </x:c>
      <x:c r="F10" s="6" t="str">
        <x:f>'Taxonomy Map'!I10</x:f>
        <x:v>Normalized from Source Room</x:v>
      </x:c>
      <x:c r="G10" s="6" t="str">
        <x:f>'Taxonomy Map'!G10</x:f>
        <x:v>Wool blend</x:v>
      </x:c>
      <x:c r="H10" s="6" t="n">
        <x:f>'Source Brief'!G10</x:f>
        <x:v>189</x:v>
      </x:c>
      <x:c r="I10" s="6" t="str">
        <x:f>'SEO &amp; Media'!B10</x:f>
        <x:v>Wool-Blend Rug, 160 × 230 | Morrow Home</x:v>
      </x:c>
      <x:c r="J10" s="6" t="str">
        <x:f>'SEO &amp; Media'!D10</x:f>
        <x:v>A neutral wool-blend rug assigned to the Living Room collection. Explore its planned Morrow Home room collection and organized catalogue details.</x:v>
      </x:c>
      <x:c r="K10" s="6" t="str">
        <x:f>'SEO &amp; Media'!G10</x:f>
        <x:v>wool-blend-rug-160x230-flat.jpg</x:v>
      </x:c>
      <x:c r="L10" s="6" t="str">
        <x:f>'SEO &amp; Media'!H10</x:f>
        <x:v>Full view of the neutral wool-blend rug</x:v>
      </x:c>
      <x:c r="M10" s="6" t="str">
        <x:f>'SEO &amp; Media'!I10</x:f>
        <x:v>wool-blend-rug-160x230-detail.jpg</x:v>
      </x:c>
      <x:c r="N10" s="6" t="str">
        <x:f>'SEO &amp; Media'!J10</x:f>
        <x:v>Detail view of the neutral wool-blend rug</x:v>
      </x:c>
      <x:c r="O10" s="6" t="str">
        <x:f>IF(AND(A10&lt;&gt;"",B10&lt;&gt;"",C10&lt;&gt;"",D10&lt;&gt;"",E10&lt;&gt;"",F10&lt;&gt;"",G10&lt;&gt;"",ISNUMBER(H10),I10&lt;&gt;"",J10&lt;&gt;"",K10&lt;&gt;"",L10&lt;&gt;"",M10&lt;&gt;"",N10&lt;&gt;"",'Taxonomy Map'!J10="PASS",'Product Copy'!F10="PASS",'SEO &amp; Media'!K10="PASS"),"PASS","REVIEW")</x:f>
        <x:v>PASS</x:v>
      </x:c>
    </x:row>
    <x:row r="11" ht="29" customHeight="1">
      <x:c r="A11" s="6" t="str">
        <x:f>'Taxonomy Map'!A11</x:f>
        <x:v>MH-010</x:v>
      </x:c>
      <x:c r="B11" s="6" t="str">
        <x:f>'Product Copy'!B11</x:f>
        <x:v>Linen Curtain, 220</x:v>
      </x:c>
      <x:c r="C11" s="6" t="str">
        <x:f>'SEO &amp; Media'!F11</x:f>
        <x:v>linen-curtain-220</x:v>
      </x:c>
      <x:c r="D11" s="6" t="str">
        <x:f>'Taxonomy Map'!D11</x:f>
        <x:v>Curtain</x:v>
      </x:c>
      <x:c r="E11" s="6" t="str">
        <x:f>'Taxonomy Map'!F11</x:f>
        <x:v>Bedroom</x:v>
      </x:c>
      <x:c r="F11" s="6" t="str">
        <x:f>'Taxonomy Map'!I11</x:f>
        <x:v>Project merchandising decision: assigned to Bedroom</x:v>
      </x:c>
      <x:c r="G11" s="6" t="str">
        <x:f>'Taxonomy Map'!G11</x:f>
        <x:v>Linen</x:v>
      </x:c>
      <x:c r="H11" s="6" t="n">
        <x:f>'Source Brief'!G11</x:f>
        <x:v>72</x:v>
      </x:c>
      <x:c r="I11" s="6" t="str">
        <x:f>'SEO &amp; Media'!B11</x:f>
        <x:v>Linen Curtain, 220 | Morrow Home</x:v>
      </x:c>
      <x:c r="J11" s="6" t="str">
        <x:f>'SEO &amp; Media'!D11</x:f>
        <x:v>A linen curtain assigned to the Bedroom collection. Explore its planned Morrow Home room collection and organized catalogue details.</x:v>
      </x:c>
      <x:c r="K11" s="6" t="str">
        <x:f>'SEO &amp; Media'!G11</x:f>
        <x:v>linen-curtain-220-full.jpg</x:v>
      </x:c>
      <x:c r="L11" s="6" t="str">
        <x:f>'SEO &amp; Media'!H11</x:f>
        <x:v>Full view of the linen curtain</x:v>
      </x:c>
      <x:c r="M11" s="6" t="str">
        <x:f>'SEO &amp; Media'!I11</x:f>
        <x:v>linen-curtain-220-fold.jpg</x:v>
      </x:c>
      <x:c r="N11" s="6" t="str">
        <x:f>'SEO &amp; Media'!J11</x:f>
        <x:v>Folded linen curtain</x:v>
      </x:c>
      <x:c r="O11" s="6" t="str">
        <x:f>IF(AND(A11&lt;&gt;"",B11&lt;&gt;"",C11&lt;&gt;"",D11&lt;&gt;"",E11&lt;&gt;"",F11&lt;&gt;"",G11&lt;&gt;"",ISNUMBER(H11),I11&lt;&gt;"",J11&lt;&gt;"",K11&lt;&gt;"",L11&lt;&gt;"",M11&lt;&gt;"",N11&lt;&gt;"",'Taxonomy Map'!J11="PASS",'Product Copy'!F11="PASS",'SEO &amp; Media'!K11="PASS"),"PASS","REVIEW")</x:f>
        <x:v>PASS</x:v>
      </x:c>
    </x:row>
    <x:row r="12" ht="29" customHeight="1">
      <x:c r="A12" s="6" t="str">
        <x:f>'Taxonomy Map'!A12</x:f>
        <x:v>MH-011</x:v>
      </x:c>
      <x:c r="B12" s="6" t="str">
        <x:f>'Product Copy'!B12</x:f>
        <x:v>Metal Floor Lamp</x:v>
      </x:c>
      <x:c r="C12" s="6" t="str">
        <x:f>'SEO &amp; Media'!F12</x:f>
        <x:v>metal-floor-lamp</x:v>
      </x:c>
      <x:c r="D12" s="6" t="str">
        <x:f>'Taxonomy Map'!D12</x:f>
        <x:v>Floor Lamp</x:v>
      </x:c>
      <x:c r="E12" s="6" t="str">
        <x:f>'Taxonomy Map'!F12</x:f>
        <x:v>Living Room</x:v>
      </x:c>
      <x:c r="F12" s="6" t="str">
        <x:f>'Taxonomy Map'!I12</x:f>
        <x:v>Normalized from Source Room</x:v>
      </x:c>
      <x:c r="G12" s="6" t="str">
        <x:f>'Taxonomy Map'!G12</x:f>
        <x:v>metal</x:v>
      </x:c>
      <x:c r="H12" s="6" t="n">
        <x:f>'Source Brief'!G12</x:f>
        <x:v>129</x:v>
      </x:c>
      <x:c r="I12" s="6" t="str">
        <x:f>'SEO &amp; Media'!B12</x:f>
        <x:v>Metal Floor Lamp | Morrow Home</x:v>
      </x:c>
      <x:c r="J12" s="6" t="str">
        <x:f>'SEO &amp; Media'!D12</x:f>
        <x:v>A black metal floor lamp for the Living Room collection. Explore its planned Morrow Home room collection and organized catalogue details.</x:v>
      </x:c>
      <x:c r="K12" s="6" t="str">
        <x:f>'SEO &amp; Media'!G12</x:f>
        <x:v>metal-floor-lamp-black-front.jpg</x:v>
      </x:c>
      <x:c r="L12" s="6" t="str">
        <x:f>'SEO &amp; Media'!H12</x:f>
        <x:v>Front view of the black metal floor lamp</x:v>
      </x:c>
      <x:c r="M12" s="6" t="str">
        <x:f>'SEO &amp; Media'!I12</x:f>
        <x:v>metal-floor-lamp-black-side.jpg</x:v>
      </x:c>
      <x:c r="N12" s="6" t="str">
        <x:f>'SEO &amp; Media'!J12</x:f>
        <x:v>Side view of the black metal floor lamp</x:v>
      </x:c>
      <x:c r="O12" s="6" t="str">
        <x:f>IF(AND(A12&lt;&gt;"",B12&lt;&gt;"",C12&lt;&gt;"",D12&lt;&gt;"",E12&lt;&gt;"",F12&lt;&gt;"",G12&lt;&gt;"",ISNUMBER(H12),I12&lt;&gt;"",J12&lt;&gt;"",K12&lt;&gt;"",L12&lt;&gt;"",M12&lt;&gt;"",N12&lt;&gt;"",'Taxonomy Map'!J12="PASS",'Product Copy'!F12="PASS",'SEO &amp; Media'!K12="PASS"),"PASS","REVIEW")</x:f>
        <x:v>PASS</x:v>
      </x:c>
    </x:row>
    <x:row r="13" ht="29" customHeight="1">
      <x:c r="A13" s="6" t="str">
        <x:f>'Taxonomy Map'!A13</x:f>
        <x:v>MH-012</x:v>
      </x:c>
      <x:c r="B13" s="6" t="str">
        <x:f>'Product Copy'!B13</x:f>
        <x:v>Oak and Metal Hook Rack, 5</x:v>
      </x:c>
      <x:c r="C13" s="6" t="str">
        <x:f>'SEO &amp; Media'!F13</x:f>
        <x:v>oak-metal-hook-rack-5</x:v>
      </x:c>
      <x:c r="D13" s="6" t="str">
        <x:f>'Taxonomy Map'!D13</x:f>
        <x:v>Hook Rack</x:v>
      </x:c>
      <x:c r="E13" s="6" t="str">
        <x:f>'Taxonomy Map'!F13</x:f>
        <x:v>Storage &amp; Entryway</x:v>
      </x:c>
      <x:c r="F13" s="6" t="str">
        <x:f>'Taxonomy Map'!I13</x:f>
        <x:v>Normalized from Source Room</x:v>
      </x:c>
      <x:c r="G13" s="6" t="str">
        <x:f>'Taxonomy Map'!G13</x:f>
        <x:v>Oak / metal</x:v>
      </x:c>
      <x:c r="H13" s="6" t="n">
        <x:f>'Source Brief'!G13</x:f>
        <x:v>52</x:v>
      </x:c>
      <x:c r="I13" s="6" t="str">
        <x:f>'SEO &amp; Media'!B13</x:f>
        <x:v>Oak and Metal Hook Rack, 5 | Morrow Home</x:v>
      </x:c>
      <x:c r="J13" s="6" t="str">
        <x:f>'SEO &amp; Media'!D13</x:f>
        <x:v>An oak and metal hook rack for the Storage &amp; Entryway collection. Explore its planned Morrow Home room collection and organized catalogue details.</x:v>
      </x:c>
      <x:c r="K13" s="6" t="str">
        <x:f>'SEO &amp; Media'!G13</x:f>
        <x:v>oak-metal-hook-rack-5-front.jpg</x:v>
      </x:c>
      <x:c r="L13" s="6" t="str">
        <x:f>'SEO &amp; Media'!H13</x:f>
        <x:v>Front view of the oak and metal hook rack</x:v>
      </x:c>
      <x:c r="M13" s="6" t="str">
        <x:f>'SEO &amp; Media'!I13</x:f>
        <x:v>oak-metal-hook-rack-5-angle.jpg</x:v>
      </x:c>
      <x:c r="N13" s="6" t="str">
        <x:f>'SEO &amp; Media'!J13</x:f>
        <x:v>Angled view of the oak and metal hook rack</x:v>
      </x:c>
      <x:c r="O13" s="6" t="str">
        <x:f>IF(AND(A13&lt;&gt;"",B13&lt;&gt;"",C13&lt;&gt;"",D13&lt;&gt;"",E13&lt;&gt;"",F13&lt;&gt;"",G13&lt;&gt;"",ISNUMBER(H13),I13&lt;&gt;"",J13&lt;&gt;"",K13&lt;&gt;"",L13&lt;&gt;"",M13&lt;&gt;"",N13&lt;&gt;"",'Taxonomy Map'!J13="PASS",'Product Copy'!F13="PASS",'SEO &amp; Media'!K13="PASS"),"PASS","REVIEW")</x:f>
        <x:v>PASS</x:v>
      </x:c>
    </x:row>
    <x:row r="14" ht="29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</x:row>
    <x:row r="15" ht="29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</x:row>
  </x:sheetData>
  <x:pageMargins left="0.7" right="0.7" top="0.75" bottom="0.75" header="0.3" footer="0.3"/>
</x:worksheet>
</file>