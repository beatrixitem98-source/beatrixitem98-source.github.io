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f85a166d7b48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Product Brief" sheetId="1" r:id="R36cca0f93fe94d25"/>
    <x:sheet xmlns:r="http://schemas.openxmlformats.org/officeDocument/2006/relationships" name="Variant Matrix" sheetId="2" r:id="Rf02867f61eb749c3"/>
    <x:sheet xmlns:r="http://schemas.openxmlformats.org/officeDocument/2006/relationships" name="Issue Log" sheetId="3" r:id="R3158835ce2ed431e"/>
    <x:sheet xmlns:r="http://schemas.openxmlformats.org/officeDocument/2006/relationships" name="Collections &amp; Filters" sheetId="4" r:id="R928a3d706e724ec3"/>
    <x:sheet xmlns:r="http://schemas.openxmlformats.org/officeDocument/2006/relationships" name="Bulk Update Validation" sheetId="5" r:id="R4b0af28c1c934e0d"/>
    <x:sheet xmlns:r="http://schemas.openxmlformats.org/officeDocument/2006/relationships" name="Reconciliation" sheetId="6" r:id="Ra1a2fea5904e4b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03B37"/>
      </x:patternFill>
    </x:fill>
    <x:fill>
      <x:patternFill patternType="solid">
        <x:fgColor rgb="FF203B37"/>
      </x:patternFill>
    </x:fill>
    <x:fill>
      <x:patternFill patternType="solid">
        <x:fgColor rgb="FF203B37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7">
    <x:dxf>
      <x:font>
        <x:b/>
        <x:color rgb="FF1F6A43"/>
      </x:font>
      <x:fill>
        <x:patternFill>
          <x:bgColor rgb="FFE7F3EA"/>
        </x:patternFill>
      </x:fill>
    </x:dxf>
    <x:dxf>
      <x:font>
        <x:b/>
        <x:color rgb="FFA93226"/>
      </x:font>
      <x:fill>
        <x:patternFill>
          <x:bgColor rgb="FFFDECEC"/>
        </x:patternFill>
      </x:fill>
    </x:dxf>
    <x:dxf>
      <x:font>
        <x:b/>
        <x:color rgb="FF1F6A43"/>
      </x:font>
      <x:fill>
        <x:patternFill>
          <x:bgColor rgb="FFE7F3EA"/>
        </x:patternFill>
      </x:fill>
    </x:dxf>
    <x:dxf>
      <x:font>
        <x:b/>
        <x:color rgb="FF8A5A00"/>
      </x:font>
      <x:fill>
        <x:patternFill>
          <x:bgColor rgb="FFFFF2CC"/>
        </x:patternFill>
      </x:fill>
    </x:dxf>
    <x:dxf>
      <x:font>
        <x:b/>
        <x:color rgb="FF1F6A43"/>
      </x:font>
      <x:fill>
        <x:patternFill>
          <x:bgColor rgb="FFE7F3EA"/>
        </x:patternFill>
      </x:fill>
    </x:dxf>
    <x:dxf>
      <x:font>
        <x:b/>
        <x:color rgb="FF1F6A43"/>
      </x:font>
      <x:fill>
        <x:patternFill>
          <x:bgColor rgb="FFE7F3EA"/>
        </x:patternFill>
      </x:fill>
    </x:dxf>
    <x:dxf>
      <x:font>
        <x:b/>
        <x:color rgb="FF1F6A43"/>
      </x:font>
      <x:fill>
        <x:patternFill>
          <x:bgColor rgb="FFE7F3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39c0e705bf482c" /><Relationship Type="http://schemas.openxmlformats.org/officeDocument/2006/relationships/theme" Target="/xl/theme/theme1.xml" Id="R5c20b1a9ab894e00" /><Relationship Type="http://schemas.openxmlformats.org/officeDocument/2006/relationships/sharedStrings" Target="/xl/sharedStrings.xml" Id="Rdb22ddefd42546ee" /><Relationship Type="http://schemas.openxmlformats.org/officeDocument/2006/relationships/worksheet" Target="/xl/worksheets/sheet1.xml" Id="R36cca0f93fe94d25" /><Relationship Type="http://schemas.openxmlformats.org/officeDocument/2006/relationships/worksheet" Target="/xl/worksheets/sheet2.xml" Id="Rf02867f61eb749c3" /><Relationship Type="http://schemas.openxmlformats.org/officeDocument/2006/relationships/worksheet" Target="/xl/worksheets/sheet3.xml" Id="R3158835ce2ed431e" /><Relationship Type="http://schemas.openxmlformats.org/officeDocument/2006/relationships/worksheet" Target="/xl/worksheets/sheet4.xml" Id="R928a3d706e724ec3" /><Relationship Type="http://schemas.openxmlformats.org/officeDocument/2006/relationships/worksheet" Target="/xl/worksheets/sheet5.xml" Id="R4b0af28c1c934e0d" /><Relationship Type="http://schemas.openxmlformats.org/officeDocument/2006/relationships/worksheet" Target="/xl/worksheets/sheet6.xml" Id="Ra1a2fea5904e4bb7" /></Relationships>
</file>

<file path=xl/tables/table1.xml><?xml version="1.0" encoding="utf-8"?>
<x:table xmlns:x="http://schemas.openxmlformats.org/spreadsheetml/2006/main" id="1" name="HarborSource" displayName="HarborSource" ref="A1:N25" headerRowCount="1" totalsRowCount="0" totalsRowShown="0">
  <x:tableColumns count="14">
    <x:tableColumn id="1" name="Source Row"/>
    <x:tableColumn id="2" name="Product"/>
    <x:tableColumn id="3" name="Product Code"/>
    <x:tableColumn id="4" name="Color"/>
    <x:tableColumn id="5" name="Color Code"/>
    <x:tableColumn id="6" name="Size"/>
    <x:tableColumn id="7" name="Size Code"/>
    <x:tableColumn id="8" name="Source SKU"/>
    <x:tableColumn id="9" name="Price"/>
    <x:tableColumn id="10" name="Inventory"/>
    <x:tableColumn id="11" name="Variant Image"/>
    <x:tableColumn id="12" name="Collection"/>
    <x:tableColumn id="13" name="Material"/>
    <x:tableColumn id="14" name="Status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arborVariantMatrix" displayName="HarborVariantMatrix" ref="A1:Q25" headerRowCount="1" totalsRowCount="0" totalsRowShown="0">
  <x:tableColumns count="17">
    <x:tableColumn id="1" name="Product"/>
    <x:tableColumn id="2" name="Product Code"/>
    <x:tableColumn id="3" name="Option1 Name"/>
    <x:tableColumn id="4" name="Color"/>
    <x:tableColumn id="5" name="Color Code"/>
    <x:tableColumn id="6" name="Option2 Name"/>
    <x:tableColumn id="7" name="Size"/>
    <x:tableColumn id="8" name="Size Code"/>
    <x:tableColumn id="9" name="Generated SKU"/>
    <x:tableColumn id="10" name="Price"/>
    <x:tableColumn id="11" name="Inventory"/>
    <x:tableColumn id="12" name="Variant Image"/>
    <x:tableColumn id="13" name="Collection"/>
    <x:tableColumn id="14" name="Material"/>
    <x:tableColumn id="15" name="SKU Unique"/>
    <x:tableColumn id="16" name="Inventory Valid"/>
    <x:tableColumn id="17" name="Image Mapp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arborIssues" displayName="HarborIssues" ref="A1:F8" headerRowCount="1" totalsRowCount="0" totalsRowShown="0">
  <x:tableColumns count="6">
    <x:tableColumn id="1" name="Issue ID"/>
    <x:tableColumn id="2" name="Source Row"/>
    <x:tableColumn id="3" name="Issue Type"/>
    <x:tableColumn id="4" name="Observed Source Issue"/>
    <x:tableColumn id="5" name="Resolution Applied"/>
    <x:tableColumn id="6" name="QA Resul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arborCollections" displayName="HarborCollections" ref="A1:G4" headerRowCount="1" totalsRowCount="0" totalsRowShown="0">
  <x:tableColumns count="7">
    <x:tableColumn id="1" name="Product"/>
    <x:tableColumn id="2" name="Collection"/>
    <x:tableColumn id="3" name="Filter: Color"/>
    <x:tableColumn id="4" name="Filter: Size"/>
    <x:tableColumn id="5" name="Filter: Material"/>
    <x:tableColumn id="6" name="Variant Count"/>
    <x:tableColumn id="7" name="Readines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arborBulkValidation" displayName="HarborBulkValidation" ref="A1:P25" headerRowCount="1" totalsRowCount="0" totalsRowShown="0">
  <x:tableColumns count="16">
    <x:tableColumn id="1" name="Row"/>
    <x:tableColumn id="2" name="Command"/>
    <x:tableColumn id="3" name="Handle"/>
    <x:tableColumn id="4" name="Title"/>
    <x:tableColumn id="5" name="Color"/>
    <x:tableColumn id="6" name="Size"/>
    <x:tableColumn id="7" name="Variant SKU"/>
    <x:tableColumn id="8" name="Price"/>
    <x:tableColumn id="9" name="Inventory"/>
    <x:tableColumn id="10" name="Variant Image"/>
    <x:tableColumn id="11" name="Product Code"/>
    <x:tableColumn id="12" name="Expected Collection"/>
    <x:tableColumn id="13" name="Prepared Collection"/>
    <x:tableColumn id="14" name="Collection Check"/>
    <x:tableColumn id="15" name="Row Gate"/>
    <x:tableColumn id="16" name="Validation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0c4b72ee2341c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42b3a8db13b4a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efcba985a194e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236a9b1bfe146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0a63ce98ddc4332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8" hidden="0" customWidth="1"/>
    <x:col min="9" max="9" width="12" hidden="0" customWidth="1"/>
    <x:col min="10" max="10" width="12" hidden="0" customWidth="1"/>
    <x:col min="11" max="11" width="42" hidden="0" customWidth="1"/>
    <x:col min="12" max="12" width="16" hidden="0" customWidth="1"/>
    <x:col min="13" max="13" width="18" hidden="0" customWidth="1"/>
    <x:col min="14" max="14" width="38" hidden="0" customWidth="1"/>
    <x:col min="15" max="15" width="28" hidden="0" customWidth="1"/>
  </x:cols>
  <x:sheetData>
    <x:row r="1">
      <x:c r="A1" s="5" t="str">
        <x:v>Source Row</x:v>
      </x:c>
      <x:c r="B1" s="5" t="str">
        <x:v>Product</x:v>
      </x:c>
      <x:c r="C1" s="5" t="str">
        <x:v>Product Code</x:v>
      </x:c>
      <x:c r="D1" s="5" t="str">
        <x:v>Color</x:v>
      </x:c>
      <x:c r="E1" s="5" t="str">
        <x:v>Color Code</x:v>
      </x:c>
      <x:c r="F1" s="5" t="str">
        <x:v>Size</x:v>
      </x:c>
      <x:c r="G1" s="5" t="str">
        <x:v>Size Code</x:v>
      </x:c>
      <x:c r="H1" s="5" t="str">
        <x:v>Source SKU</x:v>
      </x:c>
      <x:c r="I1" s="5" t="str">
        <x:v>Price</x:v>
      </x:c>
      <x:c r="J1" s="5" t="str">
        <x:v>Inventory</x:v>
      </x:c>
      <x:c r="K1" s="5" t="str">
        <x:v>Variant Image</x:v>
      </x:c>
      <x:c r="L1" s="5" t="str">
        <x:v>Collection</x:v>
      </x:c>
      <x:c r="M1" s="5" t="str">
        <x:v>Material</x:v>
      </x:c>
      <x:c r="N1" s="5" t="str">
        <x:v>Status Note</x:v>
      </x:c>
      <x:c r="O1" s="20" t="str">
        <x:v>Resolution Reference</x:v>
      </x:c>
    </x:row>
    <x:row r="2">
      <x:c r="A2" s="10" t="n">
        <x:v>1</x:v>
      </x:c>
      <x:c r="B2" s="10" t="str">
        <x:v>Everyday Cotton Tee</x:v>
      </x:c>
      <x:c r="C2" s="10" t="str">
        <x:v>TEE</x:v>
      </x:c>
      <x:c r="D2" s="10" t="str">
        <x:v>Navy</x:v>
      </x:c>
      <x:c r="E2" s="10" t="str">
        <x:v>NVY</x:v>
      </x:c>
      <x:c r="F2" s="10" t="str">
        <x:v>S</x:v>
      </x:c>
      <x:c r="G2" s="10" t="str">
        <x:v>S</x:v>
      </x:c>
      <x:c r="H2" s="10" t="str">
        <x:v>HT-TEE-NVY-S</x:v>
      </x:c>
      <x:c r="I2" s="10" t="n">
        <x:v>28</x:v>
      </x:c>
      <x:c r="J2" s="10" t="n">
        <x:v>18</x:v>
      </x:c>
      <x:c r="K2" s="10" t="str">
        <x:v>https://harbor-thread.example/tee-navy.jpg</x:v>
      </x:c>
      <x:c r="L2" s="10" t="str">
        <x:v>Tops</x:v>
      </x:c>
      <x:c r="M2" s="10" t="str">
        <x:v>Cotton</x:v>
      </x:c>
      <x:c r="N2" s="10" t="str">
        <x:v>Clean</x:v>
      </x:c>
      <x:c r="O2" s="10" t="str"/>
    </x:row>
    <x:row r="3">
      <x:c r="A3" s="10" t="n">
        <x:v>2</x:v>
      </x:c>
      <x:c r="B3" s="10" t="str">
        <x:v>Everyday Cotton Tee</x:v>
      </x:c>
      <x:c r="C3" s="10" t="str">
        <x:v>TEE</x:v>
      </x:c>
      <x:c r="D3" s="10" t="str">
        <x:v>NAVY</x:v>
      </x:c>
      <x:c r="E3" s="10" t="str">
        <x:v>NVY</x:v>
      </x:c>
      <x:c r="F3" s="10" t="str">
        <x:v>M</x:v>
      </x:c>
      <x:c r="G3" s="10" t="str">
        <x:v>M</x:v>
      </x:c>
      <x:c r="H3" s="10" t="str">
        <x:v>HT-TEE-NVY-M</x:v>
      </x:c>
      <x:c r="I3" s="10" t="n">
        <x:v>28</x:v>
      </x:c>
      <x:c r="J3" s="10" t="n">
        <x:v>21</x:v>
      </x:c>
      <x:c r="K3" s="10" t="str">
        <x:v>https://harbor-thread.example/tee-navy.jpg</x:v>
      </x:c>
      <x:c r="L3" s="10" t="str">
        <x:v>tops</x:v>
      </x:c>
      <x:c r="M3" s="10" t="str">
        <x:v>Cotton</x:v>
      </x:c>
      <x:c r="N3" s="10" t="str">
        <x:v>Color/collection casing inconsistent</x:v>
      </x:c>
      <x:c r="O3" s="10" t="str"/>
    </x:row>
    <x:row r="4">
      <x:c r="A4" s="10" t="n">
        <x:v>3</x:v>
      </x:c>
      <x:c r="B4" s="10" t="str">
        <x:v>Everyday Cotton Tee</x:v>
      </x:c>
      <x:c r="C4" s="10" t="str">
        <x:v>TEE</x:v>
      </x:c>
      <x:c r="D4" s="10" t="str">
        <x:v>Navy</x:v>
      </x:c>
      <x:c r="E4" s="10" t="str">
        <x:v>NVY</x:v>
      </x:c>
      <x:c r="F4" s="10" t="str">
        <x:v>L</x:v>
      </x:c>
      <x:c r="G4" s="10" t="str">
        <x:v>L</x:v>
      </x:c>
      <x:c r="H4" s="10" t="str">
        <x:v>HT-TEE-NVY-L</x:v>
      </x:c>
      <x:c r="I4" s="10" t="n">
        <x:v>28</x:v>
      </x:c>
      <x:c r="J4" s="10" t="n">
        <x:v>17</x:v>
      </x:c>
      <x:c r="K4" s="10" t="str">
        <x:v>https://harbor-thread.example/tee-navy.jpg</x:v>
      </x:c>
      <x:c r="L4" s="10" t="str">
        <x:v>Tops</x:v>
      </x:c>
      <x:c r="M4" s="10" t="str">
        <x:v>Cotton</x:v>
      </x:c>
      <x:c r="N4" s="10" t="str">
        <x:v>Clean</x:v>
      </x:c>
      <x:c r="O4" s="10" t="str"/>
    </x:row>
    <x:row r="5">
      <x:c r="A5" s="10" t="n">
        <x:v>4</x:v>
      </x:c>
      <x:c r="B5" s="10" t="str">
        <x:v>Everyday Cotton Tee</x:v>
      </x:c>
      <x:c r="C5" s="10" t="str">
        <x:v>TEE</x:v>
      </x:c>
      <x:c r="D5" s="10" t="str">
        <x:v>Navy</x:v>
      </x:c>
      <x:c r="E5" s="10" t="str">
        <x:v>NVY</x:v>
      </x:c>
      <x:c r="F5" s="10" t="str">
        <x:v>XL</x:v>
      </x:c>
      <x:c r="G5" s="10" t="str">
        <x:v>XL</x:v>
      </x:c>
      <x:c r="H5" s="10" t="str">
        <x:v>HT-TEE-NVY-XL</x:v>
      </x:c>
      <x:c r="I5" s="10" t="n">
        <x:v>28</x:v>
      </x:c>
      <x:c r="J5" s="10" t="n">
        <x:v>14</x:v>
      </x:c>
      <x:c r="K5" s="10" t="str">
        <x:v>https://harbor-thread.example/tee-navy.jpg</x:v>
      </x:c>
      <x:c r="L5" s="10" t="str">
        <x:v>Tops</x:v>
      </x:c>
      <x:c r="M5" s="10" t="str">
        <x:v>Cotton</x:v>
      </x:c>
      <x:c r="N5" s="10" t="str">
        <x:v>Clean</x:v>
      </x:c>
      <x:c r="O5" s="10" t="str"/>
    </x:row>
    <x:row r="6">
      <x:c r="A6" s="10" t="n">
        <x:v>5</x:v>
      </x:c>
      <x:c r="B6" s="10" t="str">
        <x:v>Everyday Cotton Tee</x:v>
      </x:c>
      <x:c r="C6" s="10" t="str">
        <x:v>TEE</x:v>
      </x:c>
      <x:c r="D6" s="10" t="str">
        <x:v>Sand</x:v>
      </x:c>
      <x:c r="E6" s="10" t="str">
        <x:v>SND</x:v>
      </x:c>
      <x:c r="F6" s="10" t="str">
        <x:v>S</x:v>
      </x:c>
      <x:c r="G6" s="10" t="str">
        <x:v>S</x:v>
      </x:c>
      <x:c r="H6" s="10" t="str">
        <x:v>HT-TEE-SND-S</x:v>
      </x:c>
      <x:c r="I6" s="10" t="n">
        <x:v>28</x:v>
      </x:c>
      <x:c r="J6" s="10" t="n">
        <x:v>20</x:v>
      </x:c>
      <x:c r="K6" s="10" t="str">
        <x:v>https://harbor-thread.example/tee-sand.jpg</x:v>
      </x:c>
      <x:c r="L6" s="10" t="str">
        <x:v>Tops</x:v>
      </x:c>
      <x:c r="M6" s="10" t="str">
        <x:v>Cotton</x:v>
      </x:c>
      <x:c r="N6" s="10" t="str">
        <x:v>Clean</x:v>
      </x:c>
      <x:c r="O6" s="10" t="str"/>
    </x:row>
    <x:row r="7">
      <x:c r="A7" s="10" t="n">
        <x:v>6</x:v>
      </x:c>
      <x:c r="B7" s="10" t="str">
        <x:v>Everyday Cotton Tee</x:v>
      </x:c>
      <x:c r="C7" s="10" t="str">
        <x:v>TEE</x:v>
      </x:c>
      <x:c r="D7" s="10" t="str">
        <x:v>Sand</x:v>
      </x:c>
      <x:c r="E7" s="10" t="str">
        <x:v>SND</x:v>
      </x:c>
      <x:c r="F7" s="10" t="str">
        <x:v>medium</x:v>
      </x:c>
      <x:c r="G7" s="10" t="str">
        <x:v>M</x:v>
      </x:c>
      <x:c r="H7" s="10" t="str">
        <x:v>HT-TEE-SND-M</x:v>
      </x:c>
      <x:c r="I7" s="10" t="n">
        <x:v>28</x:v>
      </x:c>
      <x:c r="J7" s="10" t="n">
        <x:v>16</x:v>
      </x:c>
      <x:c r="K7" s="10" t="str">
        <x:v>https://harbor-thread.example/tee-sand.jpg</x:v>
      </x:c>
      <x:c r="L7" s="10" t="str">
        <x:v>Tops</x:v>
      </x:c>
      <x:c r="M7" s="10" t="str">
        <x:v>Cotton</x:v>
      </x:c>
      <x:c r="N7" s="10" t="str">
        <x:v>Size label inconsistent</x:v>
      </x:c>
      <x:c r="O7" s="10" t="str"/>
    </x:row>
    <x:row r="8">
      <x:c r="A8" s="10" t="n">
        <x:v>7</x:v>
      </x:c>
      <x:c r="B8" s="10" t="str">
        <x:v>Everyday Cotton Tee</x:v>
      </x:c>
      <x:c r="C8" s="10" t="str">
        <x:v>TEE</x:v>
      </x:c>
      <x:c r="D8" s="10" t="str">
        <x:v>Sand</x:v>
      </x:c>
      <x:c r="E8" s="10" t="str">
        <x:v>SND</x:v>
      </x:c>
      <x:c r="F8" s="10" t="str">
        <x:v>L</x:v>
      </x:c>
      <x:c r="G8" s="10" t="str">
        <x:v>L</x:v>
      </x:c>
      <x:c r="H8" s="10" t="str">
        <x:v>HT-TEE-SND-L</x:v>
      </x:c>
      <x:c r="I8" s="10" t="n">
        <x:v>28</x:v>
      </x:c>
      <x:c r="J8" s="10" t="n">
        <x:v>12</x:v>
      </x:c>
      <x:c r="K8" s="10" t="str">
        <x:v>https://harbor-thread.example/tee-sand.jpg</x:v>
      </x:c>
      <x:c r="L8" s="10" t="str">
        <x:v>Tops</x:v>
      </x:c>
      <x:c r="M8" s="10" t="str">
        <x:v>Cotton</x:v>
      </x:c>
      <x:c r="N8" s="10" t="str">
        <x:v>Clean</x:v>
      </x:c>
      <x:c r="O8" s="10" t="str"/>
    </x:row>
    <x:row r="9">
      <x:c r="A9" s="10" t="n">
        <x:v>8</x:v>
      </x:c>
      <x:c r="B9" s="10" t="str">
        <x:v>Everyday Cotton Tee</x:v>
      </x:c>
      <x:c r="C9" s="10" t="str">
        <x:v>TEE</x:v>
      </x:c>
      <x:c r="D9" s="10" t="str">
        <x:v>Sand</x:v>
      </x:c>
      <x:c r="E9" s="10" t="str">
        <x:v>SND</x:v>
      </x:c>
      <x:c r="F9" s="10" t="str">
        <x:v>XL</x:v>
      </x:c>
      <x:c r="G9" s="10" t="str">
        <x:v>XL</x:v>
      </x:c>
      <x:c r="H9" s="10" t="str">
        <x:v>HT-TEE-SND-XL</x:v>
      </x:c>
      <x:c r="I9" s="10" t="n">
        <x:v>28</x:v>
      </x:c>
      <x:c r="J9" s="10" t="n">
        <x:v>10</x:v>
      </x:c>
      <x:c r="K9" s="10" t="str">
        <x:v>https://harbor-thread.example/tee-sand.jpg</x:v>
      </x:c>
      <x:c r="L9" s="10" t="str">
        <x:v>Tops</x:v>
      </x:c>
      <x:c r="M9" s="10" t="str">
        <x:v>Cotton</x:v>
      </x:c>
      <x:c r="N9" s="10" t="str">
        <x:v>Clean</x:v>
      </x:c>
      <x:c r="O9" s="10" t="str"/>
    </x:row>
    <x:row r="10">
      <x:c r="A10" s="10" t="n">
        <x:v>9</x:v>
      </x:c>
      <x:c r="B10" s="10" t="str">
        <x:v>Everyday Cotton Tee</x:v>
      </x:c>
      <x:c r="C10" s="10" t="str">
        <x:v>TEE</x:v>
      </x:c>
      <x:c r="D10" s="10" t="str">
        <x:v>White</x:v>
      </x:c>
      <x:c r="E10" s="10" t="str">
        <x:v>WHT</x:v>
      </x:c>
      <x:c r="F10" s="10" t="str">
        <x:v>S</x:v>
      </x:c>
      <x:c r="G10" s="10" t="str">
        <x:v>S</x:v>
      </x:c>
      <x:c r="H10" s="10" t="str">
        <x:v>HT-TEE-WHT-S</x:v>
      </x:c>
      <x:c r="I10" s="10" t="n">
        <x:v>28</x:v>
      </x:c>
      <x:c r="J10" s="10" t="n">
        <x:v>22</x:v>
      </x:c>
      <x:c r="K10" s="10" t="str">
        <x:v>https://harbor-thread.example/tee-white.jpg</x:v>
      </x:c>
      <x:c r="L10" s="10" t="str">
        <x:v>Tops</x:v>
      </x:c>
      <x:c r="M10" s="10" t="str">
        <x:v>Cotton</x:v>
      </x:c>
      <x:c r="N10" s="10" t="str">
        <x:v>Clean</x:v>
      </x:c>
      <x:c r="O10" s="10" t="str"/>
    </x:row>
    <x:row r="11">
      <x:c r="A11" s="10" t="n">
        <x:v>10</x:v>
      </x:c>
      <x:c r="B11" s="10" t="str">
        <x:v>Everyday Cotton Tee</x:v>
      </x:c>
      <x:c r="C11" s="10" t="str">
        <x:v>TEE</x:v>
      </x:c>
      <x:c r="D11" s="10" t="str">
        <x:v>White</x:v>
      </x:c>
      <x:c r="E11" s="10" t="str">
        <x:v>WHT</x:v>
      </x:c>
      <x:c r="F11" s="10" t="str">
        <x:v>M</x:v>
      </x:c>
      <x:c r="G11" s="10" t="str">
        <x:v>M</x:v>
      </x:c>
      <x:c r="H11" s="10" t="str">
        <x:v>HT-TEE-WHT-M</x:v>
      </x:c>
      <x:c r="I11" s="10" t="n">
        <x:v>28</x:v>
      </x:c>
      <x:c r="J11" s="10" t="n">
        <x:v>19</x:v>
      </x:c>
      <x:c r="K11" s="10" t="str">
        <x:v>https://harbor-thread.example/tee-white.jpg</x:v>
      </x:c>
      <x:c r="L11" s="10" t="str">
        <x:v>Tops</x:v>
      </x:c>
      <x:c r="M11" s="10" t="str">
        <x:v>Cotton</x:v>
      </x:c>
      <x:c r="N11" s="10" t="str">
        <x:v>Clean</x:v>
      </x:c>
      <x:c r="O11" s="10" t="str"/>
    </x:row>
    <x:row r="12">
      <x:c r="A12" s="10" t="n">
        <x:v>11</x:v>
      </x:c>
      <x:c r="B12" s="10" t="str">
        <x:v>Everyday Cotton Tee</x:v>
      </x:c>
      <x:c r="C12" s="10" t="str">
        <x:v>TEE</x:v>
      </x:c>
      <x:c r="D12" s="10" t="str">
        <x:v>White</x:v>
      </x:c>
      <x:c r="E12" s="10" t="str">
        <x:v>WHT</x:v>
      </x:c>
      <x:c r="F12" s="10" t="str">
        <x:v>L</x:v>
      </x:c>
      <x:c r="G12" s="10" t="str">
        <x:v>L</x:v>
      </x:c>
      <x:c r="H12" s="10" t="str">
        <x:v>HT-TEE-WHT-M</x:v>
      </x:c>
      <x:c r="I12" s="10" t="n">
        <x:v>28</x:v>
      </x:c>
      <x:c r="J12" s="10" t="n">
        <x:v>15</x:v>
      </x:c>
      <x:c r="K12" s="10" t="str">
        <x:v>https://harbor-thread.example/tee-white.jpg</x:v>
      </x:c>
      <x:c r="L12" s="10" t="str">
        <x:v>Tops</x:v>
      </x:c>
      <x:c r="M12" s="10" t="str">
        <x:v>Cotton</x:v>
      </x:c>
      <x:c r="N12" s="10" t="str">
        <x:v>Duplicate source SKU</x:v>
      </x:c>
      <x:c r="O12" s="10" t="str"/>
    </x:row>
    <x:row r="13">
      <x:c r="A13" s="10" t="n">
        <x:v>12</x:v>
      </x:c>
      <x:c r="B13" s="10" t="str">
        <x:v>Everyday Cotton Tee</x:v>
      </x:c>
      <x:c r="C13" s="10" t="str">
        <x:v>TEE</x:v>
      </x:c>
      <x:c r="D13" s="10" t="str">
        <x:v>White</x:v>
      </x:c>
      <x:c r="E13" s="10" t="str">
        <x:v>WHT</x:v>
      </x:c>
      <x:c r="F13" s="10" t="str">
        <x:v>XL</x:v>
      </x:c>
      <x:c r="G13" s="10" t="str">
        <x:v>XL</x:v>
      </x:c>
      <x:c r="H13" s="10"/>
      <x:c r="I13" s="10" t="n">
        <x:v>28</x:v>
      </x:c>
      <x:c r="J13" s="10" t="n">
        <x:v>11</x:v>
      </x:c>
      <x:c r="K13" s="10" t="str">
        <x:v>https://harbor-thread.example/tee-white.jpg</x:v>
      </x:c>
      <x:c r="L13" s="10" t="str">
        <x:v>Tops</x:v>
      </x:c>
      <x:c r="M13" s="10" t="str">
        <x:v>Cotton</x:v>
      </x:c>
      <x:c r="N13" s="10" t="str">
        <x:v>Missing source SKU</x:v>
      </x:c>
      <x:c r="O13" s="10" t="str"/>
    </x:row>
    <x:row r="14">
      <x:c r="A14" s="10" t="n">
        <x:v>13</x:v>
      </x:c>
      <x:c r="B14" s="10" t="str">
        <x:v>Ribbed Crew Sweater</x:v>
      </x:c>
      <x:c r="C14" s="10" t="str">
        <x:v>SWT</x:v>
      </x:c>
      <x:c r="D14" s="10" t="str">
        <x:v>Charcoal</x:v>
      </x:c>
      <x:c r="E14" s="10" t="str">
        <x:v>CHR</x:v>
      </x:c>
      <x:c r="F14" s="10" t="str">
        <x:v>S</x:v>
      </x:c>
      <x:c r="G14" s="10" t="str">
        <x:v>S</x:v>
      </x:c>
      <x:c r="H14" s="10" t="str">
        <x:v>HT-SWT-CHR-S</x:v>
      </x:c>
      <x:c r="I14" s="10" t="n">
        <x:v>54</x:v>
      </x:c>
      <x:c r="J14" s="10" t="n">
        <x:v>9</x:v>
      </x:c>
      <x:c r="K14" s="10" t="str">
        <x:v>https://harbor-thread.example/sweater-charcoal.jpg</x:v>
      </x:c>
      <x:c r="L14" s="10" t="str">
        <x:v>Knitwear</x:v>
      </x:c>
      <x:c r="M14" s="10" t="str">
        <x:v>Cotton Blend</x:v>
      </x:c>
      <x:c r="N14" s="10" t="str">
        <x:v>Clean</x:v>
      </x:c>
      <x:c r="O14" s="10" t="str"/>
    </x:row>
    <x:row r="15">
      <x:c r="A15" s="10" t="n">
        <x:v>14</x:v>
      </x:c>
      <x:c r="B15" s="10" t="str">
        <x:v>Ribbed Crew Sweater</x:v>
      </x:c>
      <x:c r="C15" s="10" t="str">
        <x:v>SWT</x:v>
      </x:c>
      <x:c r="D15" s="10" t="str">
        <x:v>Charcoal</x:v>
      </x:c>
      <x:c r="E15" s="10" t="str">
        <x:v>CHR</x:v>
      </x:c>
      <x:c r="F15" s="10" t="str">
        <x:v>M</x:v>
      </x:c>
      <x:c r="G15" s="10" t="str">
        <x:v>M</x:v>
      </x:c>
      <x:c r="H15" s="10" t="str">
        <x:v>HT-SWT-CHR-M</x:v>
      </x:c>
      <x:c r="I15" s="10" t="n">
        <x:v>54</x:v>
      </x:c>
      <x:c r="J15" s="10" t="n">
        <x:v>13</x:v>
      </x:c>
      <x:c r="K15" s="10" t="str">
        <x:v>https://harbor-thread.example/sweater-charcoal.jpg</x:v>
      </x:c>
      <x:c r="L15" s="10" t="str">
        <x:v>Knitwear</x:v>
      </x:c>
      <x:c r="M15" s="10" t="str">
        <x:v>Cotton Blend</x:v>
      </x:c>
      <x:c r="N15" s="10" t="str">
        <x:v>Clean</x:v>
      </x:c>
      <x:c r="O15" s="10" t="str"/>
    </x:row>
    <x:row r="16">
      <x:c r="A16" s="10" t="n">
        <x:v>15</x:v>
      </x:c>
      <x:c r="B16" s="10" t="str">
        <x:v>Ribbed Crew Sweater</x:v>
      </x:c>
      <x:c r="C16" s="10" t="str">
        <x:v>SWT</x:v>
      </x:c>
      <x:c r="D16" s="10" t="str">
        <x:v>Charcoal</x:v>
      </x:c>
      <x:c r="E16" s="10" t="str">
        <x:v>CHR</x:v>
      </x:c>
      <x:c r="F16" s="10" t="str">
        <x:v>L</x:v>
      </x:c>
      <x:c r="G16" s="10" t="str">
        <x:v>L</x:v>
      </x:c>
      <x:c r="H16" s="10" t="str">
        <x:v>HT-SWT-CHR-L</x:v>
      </x:c>
      <x:c r="I16" s="10" t="n">
        <x:v>54</x:v>
      </x:c>
      <x:c r="J16" s="10" t="n">
        <x:v>-2</x:v>
      </x:c>
      <x:c r="K16" s="10" t="str">
        <x:v>https://harbor-thread.example/sweater-charcoal.jpg</x:v>
      </x:c>
      <x:c r="L16" s="10" t="str">
        <x:v>Knitwear</x:v>
      </x:c>
      <x:c r="M16" s="10" t="str">
        <x:v>Cotton Blend</x:v>
      </x:c>
      <x:c r="N16" s="10" t="str">
        <x:v>Negative inventory</x:v>
      </x:c>
      <x:c r="O16" s="10" t="str">
        <x:v>Documented resolution value: 11</x:v>
      </x:c>
    </x:row>
    <x:row r="17">
      <x:c r="A17" s="10" t="n">
        <x:v>16</x:v>
      </x:c>
      <x:c r="B17" s="10" t="str">
        <x:v>Ribbed Crew Sweater</x:v>
      </x:c>
      <x:c r="C17" s="10" t="str">
        <x:v>SWT</x:v>
      </x:c>
      <x:c r="D17" s="10" t="str">
        <x:v>Oat</x:v>
      </x:c>
      <x:c r="E17" s="10" t="str">
        <x:v>OAT</x:v>
      </x:c>
      <x:c r="F17" s="10" t="str">
        <x:v>S</x:v>
      </x:c>
      <x:c r="G17" s="10" t="str">
        <x:v>S</x:v>
      </x:c>
      <x:c r="H17" s="10" t="str">
        <x:v>HT-SWT-OAT-S</x:v>
      </x:c>
      <x:c r="I17" s="10" t="n">
        <x:v>54</x:v>
      </x:c>
      <x:c r="J17" s="10" t="n">
        <x:v>10</x:v>
      </x:c>
      <x:c r="K17" s="10" t="str">
        <x:v>https://harbor-thread.example/sweater-oat.jpg</x:v>
      </x:c>
      <x:c r="L17" s="10" t="str">
        <x:v>Knitwear</x:v>
      </x:c>
      <x:c r="M17" s="10" t="str">
        <x:v>Cotton Blend</x:v>
      </x:c>
      <x:c r="N17" s="10" t="str">
        <x:v>Clean</x:v>
      </x:c>
      <x:c r="O17" s="10" t="str"/>
    </x:row>
    <x:row r="18">
      <x:c r="A18" s="10" t="n">
        <x:v>17</x:v>
      </x:c>
      <x:c r="B18" s="10" t="str">
        <x:v>Ribbed Crew Sweater</x:v>
      </x:c>
      <x:c r="C18" s="10" t="str">
        <x:v>SWT</x:v>
      </x:c>
      <x:c r="D18" s="10" t="str">
        <x:v>Oat</x:v>
      </x:c>
      <x:c r="E18" s="10" t="str">
        <x:v>OAT</x:v>
      </x:c>
      <x:c r="F18" s="10" t="str">
        <x:v>M</x:v>
      </x:c>
      <x:c r="G18" s="10" t="str">
        <x:v>M</x:v>
      </x:c>
      <x:c r="H18" s="10" t="str">
        <x:v>HT-SWT-OAT-M</x:v>
      </x:c>
      <x:c r="I18" s="10" t="n">
        <x:v>54</x:v>
      </x:c>
      <x:c r="J18" s="10" t="n">
        <x:v>12</x:v>
      </x:c>
      <x:c r="K18" s="10"/>
      <x:c r="L18" s="10" t="str">
        <x:v>Knitwear</x:v>
      </x:c>
      <x:c r="M18" s="10" t="str">
        <x:v>Cotton Blend</x:v>
      </x:c>
      <x:c r="N18" s="10" t="str">
        <x:v>Missing variant image</x:v>
      </x:c>
      <x:c r="O18" s="10" t="str"/>
    </x:row>
    <x:row r="19">
      <x:c r="A19" s="10" t="n">
        <x:v>18</x:v>
      </x:c>
      <x:c r="B19" s="10" t="str">
        <x:v>Ribbed Crew Sweater</x:v>
      </x:c>
      <x:c r="C19" s="10" t="str">
        <x:v>SWT</x:v>
      </x:c>
      <x:c r="D19" s="10" t="str">
        <x:v>Oat</x:v>
      </x:c>
      <x:c r="E19" s="10" t="str">
        <x:v>OAT</x:v>
      </x:c>
      <x:c r="F19" s="10" t="str">
        <x:v>L</x:v>
      </x:c>
      <x:c r="G19" s="10" t="str">
        <x:v>L</x:v>
      </x:c>
      <x:c r="H19" s="10" t="str">
        <x:v>HT-SWT-OAT-L</x:v>
      </x:c>
      <x:c r="I19" s="10" t="n">
        <x:v>54</x:v>
      </x:c>
      <x:c r="J19" s="10" t="n">
        <x:v>8</x:v>
      </x:c>
      <x:c r="K19" s="10" t="str">
        <x:v>https://harbor-thread.example/sweater-oat.jpg</x:v>
      </x:c>
      <x:c r="L19" s="10" t="str">
        <x:v>Knitwear</x:v>
      </x:c>
      <x:c r="M19" s="10" t="str">
        <x:v>Cotton Blend</x:v>
      </x:c>
      <x:c r="N19" s="10" t="str">
        <x:v>Clean</x:v>
      </x:c>
      <x:c r="O19" s="10" t="str"/>
    </x:row>
    <x:row r="20">
      <x:c r="A20" s="10" t="n">
        <x:v>19</x:v>
      </x:c>
      <x:c r="B20" s="10" t="str">
        <x:v>Canvas Overshirt</x:v>
      </x:c>
      <x:c r="C20" s="10" t="str">
        <x:v>OVR</x:v>
      </x:c>
      <x:c r="D20" s="10" t="str">
        <x:v>Olive</x:v>
      </x:c>
      <x:c r="E20" s="10" t="str">
        <x:v>OLV</x:v>
      </x:c>
      <x:c r="F20" s="10" t="str">
        <x:v>M</x:v>
      </x:c>
      <x:c r="G20" s="10" t="str">
        <x:v>M</x:v>
      </x:c>
      <x:c r="H20" s="10" t="str">
        <x:v>HT-OVR-OLV-M</x:v>
      </x:c>
      <x:c r="I20" s="10" t="str">
        <x:v>$68.00</x:v>
      </x:c>
      <x:c r="J20" s="10" t="n">
        <x:v>7</x:v>
      </x:c>
      <x:c r="K20" s="10" t="str">
        <x:v>https://harbor-thread.example/overshirt-olive.jpg</x:v>
      </x:c>
      <x:c r="L20" s="10" t="str">
        <x:v>Outerwear</x:v>
      </x:c>
      <x:c r="M20" s="10" t="str">
        <x:v>Cotton Canvas</x:v>
      </x:c>
      <x:c r="N20" s="10" t="str">
        <x:v>Price formatting inconsistent</x:v>
      </x:c>
      <x:c r="O20" s="10" t="str"/>
    </x:row>
    <x:row r="21">
      <x:c r="A21" s="10" t="n">
        <x:v>20</x:v>
      </x:c>
      <x:c r="B21" s="10" t="str">
        <x:v>Canvas Overshirt</x:v>
      </x:c>
      <x:c r="C21" s="10" t="str">
        <x:v>OVR</x:v>
      </x:c>
      <x:c r="D21" s="10" t="str">
        <x:v>Olive</x:v>
      </x:c>
      <x:c r="E21" s="10" t="str">
        <x:v>OLV</x:v>
      </x:c>
      <x:c r="F21" s="10" t="str">
        <x:v>L</x:v>
      </x:c>
      <x:c r="G21" s="10" t="str">
        <x:v>L</x:v>
      </x:c>
      <x:c r="H21" s="10" t="str">
        <x:v>HT-OVR-OLV-L</x:v>
      </x:c>
      <x:c r="I21" s="10" t="n">
        <x:v>68</x:v>
      </x:c>
      <x:c r="J21" s="10" t="n">
        <x:v>9</x:v>
      </x:c>
      <x:c r="K21" s="10" t="str">
        <x:v>https://harbor-thread.example/overshirt-olive.jpg</x:v>
      </x:c>
      <x:c r="L21" s="10" t="str">
        <x:v>Outerwear</x:v>
      </x:c>
      <x:c r="M21" s="10" t="str">
        <x:v>Cotton Canvas</x:v>
      </x:c>
      <x:c r="N21" s="10" t="str">
        <x:v>Clean</x:v>
      </x:c>
      <x:c r="O21" s="10" t="str"/>
    </x:row>
    <x:row r="22">
      <x:c r="A22" s="10" t="n">
        <x:v>21</x:v>
      </x:c>
      <x:c r="B22" s="10" t="str">
        <x:v>Canvas Overshirt</x:v>
      </x:c>
      <x:c r="C22" s="10" t="str">
        <x:v>OVR</x:v>
      </x:c>
      <x:c r="D22" s="10" t="str">
        <x:v>Olive</x:v>
      </x:c>
      <x:c r="E22" s="10" t="str">
        <x:v>OLV</x:v>
      </x:c>
      <x:c r="F22" s="10" t="str">
        <x:v>XL</x:v>
      </x:c>
      <x:c r="G22" s="10" t="str">
        <x:v>XL</x:v>
      </x:c>
      <x:c r="H22" s="10" t="str">
        <x:v>HT-OVR-OLV-XL</x:v>
      </x:c>
      <x:c r="I22" s="10" t="n">
        <x:v>68</x:v>
      </x:c>
      <x:c r="J22" s="10" t="n">
        <x:v>6</x:v>
      </x:c>
      <x:c r="K22" s="10" t="str">
        <x:v>https://harbor-thread.example/overshirt-olive.jpg</x:v>
      </x:c>
      <x:c r="L22" s="10" t="str">
        <x:v>Outerwear</x:v>
      </x:c>
      <x:c r="M22" s="10" t="str">
        <x:v>Cotton Canvas</x:v>
      </x:c>
      <x:c r="N22" s="10" t="str">
        <x:v>Clean</x:v>
      </x:c>
      <x:c r="O22" s="10" t="str"/>
    </x:row>
    <x:row r="23">
      <x:c r="A23" s="10" t="n">
        <x:v>22</x:v>
      </x:c>
      <x:c r="B23" s="10" t="str">
        <x:v>Canvas Overshirt</x:v>
      </x:c>
      <x:c r="C23" s="10" t="str">
        <x:v>OVR</x:v>
      </x:c>
      <x:c r="D23" s="10" t="str">
        <x:v>Navy</x:v>
      </x:c>
      <x:c r="E23" s="10" t="str">
        <x:v>NVY</x:v>
      </x:c>
      <x:c r="F23" s="10" t="str">
        <x:v>M</x:v>
      </x:c>
      <x:c r="G23" s="10" t="str">
        <x:v>M</x:v>
      </x:c>
      <x:c r="H23" s="10" t="str">
        <x:v>HT-OVR-NVY-M</x:v>
      </x:c>
      <x:c r="I23" s="10" t="n">
        <x:v>68</x:v>
      </x:c>
      <x:c r="J23" s="10" t="n">
        <x:v>8</x:v>
      </x:c>
      <x:c r="K23" s="10" t="str">
        <x:v>https://harbor-thread.example/overshirt-navy.jpg</x:v>
      </x:c>
      <x:c r="L23" s="10" t="str">
        <x:v>Outerwear</x:v>
      </x:c>
      <x:c r="M23" s="10" t="str">
        <x:v>Cotton Canvas</x:v>
      </x:c>
      <x:c r="N23" s="10" t="str">
        <x:v>Clean</x:v>
      </x:c>
      <x:c r="O23" s="10" t="str"/>
    </x:row>
    <x:row r="24">
      <x:c r="A24" s="10" t="n">
        <x:v>23</x:v>
      </x:c>
      <x:c r="B24" s="10" t="str">
        <x:v>Canvas Overshirt</x:v>
      </x:c>
      <x:c r="C24" s="10" t="str">
        <x:v>OVR</x:v>
      </x:c>
      <x:c r="D24" s="10" t="str">
        <x:v>Navy</x:v>
      </x:c>
      <x:c r="E24" s="10" t="str">
        <x:v>NVY</x:v>
      </x:c>
      <x:c r="F24" s="10" t="str">
        <x:v>L</x:v>
      </x:c>
      <x:c r="G24" s="10" t="str">
        <x:v>L</x:v>
      </x:c>
      <x:c r="H24" s="10" t="str">
        <x:v>HT-OVR-NVY-L</x:v>
      </x:c>
      <x:c r="I24" s="10" t="n">
        <x:v>68</x:v>
      </x:c>
      <x:c r="J24" s="10" t="n">
        <x:v>10</x:v>
      </x:c>
      <x:c r="K24" s="10" t="str">
        <x:v>https://harbor-thread.example/overshirt-navy.jpg</x:v>
      </x:c>
      <x:c r="L24" s="10" t="str">
        <x:v>Outerwear</x:v>
      </x:c>
      <x:c r="M24" s="10" t="str">
        <x:v>Cotton Canvas</x:v>
      </x:c>
      <x:c r="N24" s="10" t="str">
        <x:v>Clean</x:v>
      </x:c>
      <x:c r="O24" s="10" t="str"/>
    </x:row>
    <x:row r="25">
      <x:c r="A25" s="10" t="n">
        <x:v>24</x:v>
      </x:c>
      <x:c r="B25" s="10" t="str">
        <x:v>Canvas Overshirt</x:v>
      </x:c>
      <x:c r="C25" s="10" t="str">
        <x:v>OVR</x:v>
      </x:c>
      <x:c r="D25" s="10" t="str">
        <x:v>Navy</x:v>
      </x:c>
      <x:c r="E25" s="10" t="str">
        <x:v>NVY</x:v>
      </x:c>
      <x:c r="F25" s="10" t="str">
        <x:v>XL</x:v>
      </x:c>
      <x:c r="G25" s="10" t="str">
        <x:v>XL</x:v>
      </x:c>
      <x:c r="H25" s="10" t="str">
        <x:v>HT-OVR-NVY-XL</x:v>
      </x:c>
      <x:c r="I25" s="10" t="n">
        <x:v>68</x:v>
      </x:c>
      <x:c r="J25" s="10" t="n">
        <x:v>5</x:v>
      </x:c>
      <x:c r="K25" s="10" t="str">
        <x:v>https://harbor-thread.example/overshirt-navy.jpg</x:v>
      </x:c>
      <x:c r="L25" s="10" t="str">
        <x:v>Outerwear</x:v>
      </x:c>
      <x:c r="M25" s="10" t="str">
        <x:v>Cotton Canvas</x:v>
      </x:c>
      <x:c r="N25" s="10" t="str">
        <x:v>Clean</x:v>
      </x:c>
      <x:c r="O25" s="10" t="str"/>
    </x:row>
  </x:sheetData>
  <x:pageMargins left="0.7" right="0.7" top="0.75" bottom="0.75" header="0.3" footer="0.3"/>
  <x:tableParts count="1">
    <x:tablePart xmlns:r="http://schemas.openxmlformats.org/officeDocument/2006/relationships" r:id="Rbf0c4b72ee2341c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20" hidden="0" customWidth="1"/>
    <x:col min="10" max="10" width="12" hidden="0" customWidth="1"/>
    <x:col min="11" max="11" width="12" hidden="0" customWidth="1"/>
    <x:col min="12" max="12" width="42" hidden="0" customWidth="1"/>
    <x:col min="13" max="13" width="15" hidden="0" customWidth="1"/>
    <x:col min="14" max="14" width="18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>
      <x:c r="A1" s="5" t="str">
        <x:v>Product</x:v>
      </x:c>
      <x:c r="B1" s="5" t="str">
        <x:v>Product Code</x:v>
      </x:c>
      <x:c r="C1" s="5" t="str">
        <x:v>Option1 Name</x:v>
      </x:c>
      <x:c r="D1" s="5" t="str">
        <x:v>Color</x:v>
      </x:c>
      <x:c r="E1" s="5" t="str">
        <x:v>Color Code</x:v>
      </x:c>
      <x:c r="F1" s="5" t="str">
        <x:v>Option2 Name</x:v>
      </x:c>
      <x:c r="G1" s="5" t="str">
        <x:v>Size</x:v>
      </x:c>
      <x:c r="H1" s="5" t="str">
        <x:v>Size Code</x:v>
      </x:c>
      <x:c r="I1" s="5" t="str">
        <x:v>Generated SKU</x:v>
      </x:c>
      <x:c r="J1" s="5" t="str">
        <x:v>Price</x:v>
      </x:c>
      <x:c r="K1" s="5" t="str">
        <x:v>Inventory</x:v>
      </x:c>
      <x:c r="L1" s="5" t="str">
        <x:v>Variant Image</x:v>
      </x:c>
      <x:c r="M1" s="5" t="str">
        <x:v>Collection</x:v>
      </x:c>
      <x:c r="N1" s="5" t="str">
        <x:v>Material</x:v>
      </x:c>
      <x:c r="O1" s="5" t="str">
        <x:v>SKU Unique</x:v>
      </x:c>
      <x:c r="P1" s="5" t="str">
        <x:v>Inventory Valid</x:v>
      </x:c>
      <x:c r="Q1" s="5" t="str">
        <x:v>Image Mapped</x:v>
      </x:c>
    </x:row>
    <x:row r="2">
      <x:c r="A2" s="10" t="str">
        <x:v>Everyday Cotton Tee</x:v>
      </x:c>
      <x:c r="B2" s="10" t="str">
        <x:v>TEE</x:v>
      </x:c>
      <x:c r="C2" s="10" t="str">
        <x:v>Color</x:v>
      </x:c>
      <x:c r="D2" s="10" t="str">
        <x:v>Navy</x:v>
      </x:c>
      <x:c r="E2" s="10" t="str">
        <x:v>NVY</x:v>
      </x:c>
      <x:c r="F2" s="10" t="str">
        <x:v>Size</x:v>
      </x:c>
      <x:c r="G2" s="10" t="str">
        <x:v>S</x:v>
      </x:c>
      <x:c r="H2" s="10" t="str">
        <x:v>S</x:v>
      </x:c>
      <x:c r="I2" s="10" t="str">
        <x:f>"HT-"&amp;B2&amp;"-"&amp;E2&amp;"-"&amp;H2</x:f>
        <x:v>HT-TEE-NVY-S</x:v>
      </x:c>
      <x:c r="J2" s="10" t="n">
        <x:v>28</x:v>
      </x:c>
      <x:c r="K2" s="10" t="n">
        <x:v>18</x:v>
      </x:c>
      <x:c r="L2" s="10" t="str">
        <x:v>https://harbor-thread.example/tee-navy.jpg</x:v>
      </x:c>
      <x:c r="M2" s="10" t="str">
        <x:v>Tops</x:v>
      </x:c>
      <x:c r="N2" s="10" t="str">
        <x:v>Cotton</x:v>
      </x:c>
      <x:c r="O2" s="10" t="str">
        <x:f>IF(COUNTIF($I$2:$I$25,I2)=1,"PASS","DUPLICATE")</x:f>
        <x:v>PASS</x:v>
      </x:c>
      <x:c r="P2" s="10" t="str">
        <x:f>IF(AND(ISNUMBER(K2),K2&gt;=0),"PASS","REVIEW")</x:f>
        <x:v>PASS</x:v>
      </x:c>
      <x:c r="Q2" s="10" t="str">
        <x:f>IF(LEFT(L2,8)="https://","PASS","REVIEW")</x:f>
        <x:v>PASS</x:v>
      </x:c>
    </x:row>
    <x:row r="3">
      <x:c r="A3" s="10" t="str">
        <x:v>Everyday Cotton Tee</x:v>
      </x:c>
      <x:c r="B3" s="10" t="str">
        <x:v>TEE</x:v>
      </x:c>
      <x:c r="C3" s="10" t="str">
        <x:v>Color</x:v>
      </x:c>
      <x:c r="D3" s="10" t="str">
        <x:v>Navy</x:v>
      </x:c>
      <x:c r="E3" s="10" t="str">
        <x:v>NVY</x:v>
      </x:c>
      <x:c r="F3" s="10" t="str">
        <x:v>Size</x:v>
      </x:c>
      <x:c r="G3" s="10" t="str">
        <x:v>M</x:v>
      </x:c>
      <x:c r="H3" s="10" t="str">
        <x:v>M</x:v>
      </x:c>
      <x:c r="I3" s="10" t="str">
        <x:f>"HT-"&amp;B3&amp;"-"&amp;E3&amp;"-"&amp;H3</x:f>
        <x:v>HT-TEE-NVY-M</x:v>
      </x:c>
      <x:c r="J3" s="10" t="n">
        <x:v>28</x:v>
      </x:c>
      <x:c r="K3" s="10" t="n">
        <x:v>21</x:v>
      </x:c>
      <x:c r="L3" s="10" t="str">
        <x:v>https://harbor-thread.example/tee-navy.jpg</x:v>
      </x:c>
      <x:c r="M3" s="10" t="str">
        <x:v>Tops</x:v>
      </x:c>
      <x:c r="N3" s="10" t="str">
        <x:v>Cotton</x:v>
      </x:c>
      <x:c r="O3" s="10" t="str">
        <x:f>IF(COUNTIF($I$2:$I$25,I3)=1,"PASS","DUPLICATE")</x:f>
        <x:v>PASS</x:v>
      </x:c>
      <x:c r="P3" s="10" t="str">
        <x:f>IF(AND(ISNUMBER(K3),K3&gt;=0),"PASS","REVIEW")</x:f>
        <x:v>PASS</x:v>
      </x:c>
      <x:c r="Q3" s="10" t="str">
        <x:f>IF(LEFT(L3,8)="https://","PASS","REVIEW")</x:f>
        <x:v>PASS</x:v>
      </x:c>
    </x:row>
    <x:row r="4">
      <x:c r="A4" s="10" t="str">
        <x:v>Everyday Cotton Tee</x:v>
      </x:c>
      <x:c r="B4" s="10" t="str">
        <x:v>TEE</x:v>
      </x:c>
      <x:c r="C4" s="10" t="str">
        <x:v>Color</x:v>
      </x:c>
      <x:c r="D4" s="10" t="str">
        <x:v>Navy</x:v>
      </x:c>
      <x:c r="E4" s="10" t="str">
        <x:v>NVY</x:v>
      </x:c>
      <x:c r="F4" s="10" t="str">
        <x:v>Size</x:v>
      </x:c>
      <x:c r="G4" s="10" t="str">
        <x:v>L</x:v>
      </x:c>
      <x:c r="H4" s="10" t="str">
        <x:v>L</x:v>
      </x:c>
      <x:c r="I4" s="10" t="str">
        <x:f>"HT-"&amp;B4&amp;"-"&amp;E4&amp;"-"&amp;H4</x:f>
        <x:v>HT-TEE-NVY-L</x:v>
      </x:c>
      <x:c r="J4" s="10" t="n">
        <x:v>28</x:v>
      </x:c>
      <x:c r="K4" s="10" t="n">
        <x:v>17</x:v>
      </x:c>
      <x:c r="L4" s="10" t="str">
        <x:v>https://harbor-thread.example/tee-navy.jpg</x:v>
      </x:c>
      <x:c r="M4" s="10" t="str">
        <x:v>Tops</x:v>
      </x:c>
      <x:c r="N4" s="10" t="str">
        <x:v>Cotton</x:v>
      </x:c>
      <x:c r="O4" s="10" t="str">
        <x:f>IF(COUNTIF($I$2:$I$25,I4)=1,"PASS","DUPLICATE")</x:f>
        <x:v>PASS</x:v>
      </x:c>
      <x:c r="P4" s="10" t="str">
        <x:f>IF(AND(ISNUMBER(K4),K4&gt;=0),"PASS","REVIEW")</x:f>
        <x:v>PASS</x:v>
      </x:c>
      <x:c r="Q4" s="10" t="str">
        <x:f>IF(LEFT(L4,8)="https://","PASS","REVIEW")</x:f>
        <x:v>PASS</x:v>
      </x:c>
    </x:row>
    <x:row r="5">
      <x:c r="A5" s="10" t="str">
        <x:v>Everyday Cotton Tee</x:v>
      </x:c>
      <x:c r="B5" s="10" t="str">
        <x:v>TEE</x:v>
      </x:c>
      <x:c r="C5" s="10" t="str">
        <x:v>Color</x:v>
      </x:c>
      <x:c r="D5" s="10" t="str">
        <x:v>Navy</x:v>
      </x:c>
      <x:c r="E5" s="10" t="str">
        <x:v>NVY</x:v>
      </x:c>
      <x:c r="F5" s="10" t="str">
        <x:v>Size</x:v>
      </x:c>
      <x:c r="G5" s="10" t="str">
        <x:v>XL</x:v>
      </x:c>
      <x:c r="H5" s="10" t="str">
        <x:v>XL</x:v>
      </x:c>
      <x:c r="I5" s="10" t="str">
        <x:f>"HT-"&amp;B5&amp;"-"&amp;E5&amp;"-"&amp;H5</x:f>
        <x:v>HT-TEE-NVY-XL</x:v>
      </x:c>
      <x:c r="J5" s="10" t="n">
        <x:v>28</x:v>
      </x:c>
      <x:c r="K5" s="10" t="n">
        <x:v>14</x:v>
      </x:c>
      <x:c r="L5" s="10" t="str">
        <x:v>https://harbor-thread.example/tee-navy.jpg</x:v>
      </x:c>
      <x:c r="M5" s="10" t="str">
        <x:v>Tops</x:v>
      </x:c>
      <x:c r="N5" s="10" t="str">
        <x:v>Cotton</x:v>
      </x:c>
      <x:c r="O5" s="10" t="str">
        <x:f>IF(COUNTIF($I$2:$I$25,I5)=1,"PASS","DUPLICATE")</x:f>
        <x:v>PASS</x:v>
      </x:c>
      <x:c r="P5" s="10" t="str">
        <x:f>IF(AND(ISNUMBER(K5),K5&gt;=0),"PASS","REVIEW")</x:f>
        <x:v>PASS</x:v>
      </x:c>
      <x:c r="Q5" s="10" t="str">
        <x:f>IF(LEFT(L5,8)="https://","PASS","REVIEW")</x:f>
        <x:v>PASS</x:v>
      </x:c>
    </x:row>
    <x:row r="6">
      <x:c r="A6" s="10" t="str">
        <x:v>Everyday Cotton Tee</x:v>
      </x:c>
      <x:c r="B6" s="10" t="str">
        <x:v>TEE</x:v>
      </x:c>
      <x:c r="C6" s="10" t="str">
        <x:v>Color</x:v>
      </x:c>
      <x:c r="D6" s="10" t="str">
        <x:v>Sand</x:v>
      </x:c>
      <x:c r="E6" s="10" t="str">
        <x:v>SND</x:v>
      </x:c>
      <x:c r="F6" s="10" t="str">
        <x:v>Size</x:v>
      </x:c>
      <x:c r="G6" s="10" t="str">
        <x:v>S</x:v>
      </x:c>
      <x:c r="H6" s="10" t="str">
        <x:v>S</x:v>
      </x:c>
      <x:c r="I6" s="10" t="str">
        <x:f>"HT-"&amp;B6&amp;"-"&amp;E6&amp;"-"&amp;H6</x:f>
        <x:v>HT-TEE-SND-S</x:v>
      </x:c>
      <x:c r="J6" s="10" t="n">
        <x:v>28</x:v>
      </x:c>
      <x:c r="K6" s="10" t="n">
        <x:v>20</x:v>
      </x:c>
      <x:c r="L6" s="10" t="str">
        <x:v>https://harbor-thread.example/tee-sand.jpg</x:v>
      </x:c>
      <x:c r="M6" s="10" t="str">
        <x:v>Tops</x:v>
      </x:c>
      <x:c r="N6" s="10" t="str">
        <x:v>Cotton</x:v>
      </x:c>
      <x:c r="O6" s="10" t="str">
        <x:f>IF(COUNTIF($I$2:$I$25,I6)=1,"PASS","DUPLICATE")</x:f>
        <x:v>PASS</x:v>
      </x:c>
      <x:c r="P6" s="10" t="str">
        <x:f>IF(AND(ISNUMBER(K6),K6&gt;=0),"PASS","REVIEW")</x:f>
        <x:v>PASS</x:v>
      </x:c>
      <x:c r="Q6" s="10" t="str">
        <x:f>IF(LEFT(L6,8)="https://","PASS","REVIEW")</x:f>
        <x:v>PASS</x:v>
      </x:c>
    </x:row>
    <x:row r="7">
      <x:c r="A7" s="10" t="str">
        <x:v>Everyday Cotton Tee</x:v>
      </x:c>
      <x:c r="B7" s="10" t="str">
        <x:v>TEE</x:v>
      </x:c>
      <x:c r="C7" s="10" t="str">
        <x:v>Color</x:v>
      </x:c>
      <x:c r="D7" s="10" t="str">
        <x:v>Sand</x:v>
      </x:c>
      <x:c r="E7" s="10" t="str">
        <x:v>SND</x:v>
      </x:c>
      <x:c r="F7" s="10" t="str">
        <x:v>Size</x:v>
      </x:c>
      <x:c r="G7" s="10" t="str">
        <x:v>M</x:v>
      </x:c>
      <x:c r="H7" s="10" t="str">
        <x:v>M</x:v>
      </x:c>
      <x:c r="I7" s="10" t="str">
        <x:f>"HT-"&amp;B7&amp;"-"&amp;E7&amp;"-"&amp;H7</x:f>
        <x:v>HT-TEE-SND-M</x:v>
      </x:c>
      <x:c r="J7" s="10" t="n">
        <x:v>28</x:v>
      </x:c>
      <x:c r="K7" s="10" t="n">
        <x:v>16</x:v>
      </x:c>
      <x:c r="L7" s="10" t="str">
        <x:v>https://harbor-thread.example/tee-sand.jpg</x:v>
      </x:c>
      <x:c r="M7" s="10" t="str">
        <x:v>Tops</x:v>
      </x:c>
      <x:c r="N7" s="10" t="str">
        <x:v>Cotton</x:v>
      </x:c>
      <x:c r="O7" s="10" t="str">
        <x:f>IF(COUNTIF($I$2:$I$25,I7)=1,"PASS","DUPLICATE")</x:f>
        <x:v>PASS</x:v>
      </x:c>
      <x:c r="P7" s="10" t="str">
        <x:f>IF(AND(ISNUMBER(K7),K7&gt;=0),"PASS","REVIEW")</x:f>
        <x:v>PASS</x:v>
      </x:c>
      <x:c r="Q7" s="10" t="str">
        <x:f>IF(LEFT(L7,8)="https://","PASS","REVIEW")</x:f>
        <x:v>PASS</x:v>
      </x:c>
    </x:row>
    <x:row r="8">
      <x:c r="A8" s="10" t="str">
        <x:v>Everyday Cotton Tee</x:v>
      </x:c>
      <x:c r="B8" s="10" t="str">
        <x:v>TEE</x:v>
      </x:c>
      <x:c r="C8" s="10" t="str">
        <x:v>Color</x:v>
      </x:c>
      <x:c r="D8" s="10" t="str">
        <x:v>Sand</x:v>
      </x:c>
      <x:c r="E8" s="10" t="str">
        <x:v>SND</x:v>
      </x:c>
      <x:c r="F8" s="10" t="str">
        <x:v>Size</x:v>
      </x:c>
      <x:c r="G8" s="10" t="str">
        <x:v>L</x:v>
      </x:c>
      <x:c r="H8" s="10" t="str">
        <x:v>L</x:v>
      </x:c>
      <x:c r="I8" s="10" t="str">
        <x:f>"HT-"&amp;B8&amp;"-"&amp;E8&amp;"-"&amp;H8</x:f>
        <x:v>HT-TEE-SND-L</x:v>
      </x:c>
      <x:c r="J8" s="10" t="n">
        <x:v>28</x:v>
      </x:c>
      <x:c r="K8" s="10" t="n">
        <x:v>12</x:v>
      </x:c>
      <x:c r="L8" s="10" t="str">
        <x:v>https://harbor-thread.example/tee-sand.jpg</x:v>
      </x:c>
      <x:c r="M8" s="10" t="str">
        <x:v>Tops</x:v>
      </x:c>
      <x:c r="N8" s="10" t="str">
        <x:v>Cotton</x:v>
      </x:c>
      <x:c r="O8" s="10" t="str">
        <x:f>IF(COUNTIF($I$2:$I$25,I8)=1,"PASS","DUPLICATE")</x:f>
        <x:v>PASS</x:v>
      </x:c>
      <x:c r="P8" s="10" t="str">
        <x:f>IF(AND(ISNUMBER(K8),K8&gt;=0),"PASS","REVIEW")</x:f>
        <x:v>PASS</x:v>
      </x:c>
      <x:c r="Q8" s="10" t="str">
        <x:f>IF(LEFT(L8,8)="https://","PASS","REVIEW")</x:f>
        <x:v>PASS</x:v>
      </x:c>
    </x:row>
    <x:row r="9">
      <x:c r="A9" s="10" t="str">
        <x:v>Everyday Cotton Tee</x:v>
      </x:c>
      <x:c r="B9" s="10" t="str">
        <x:v>TEE</x:v>
      </x:c>
      <x:c r="C9" s="10" t="str">
        <x:v>Color</x:v>
      </x:c>
      <x:c r="D9" s="10" t="str">
        <x:v>Sand</x:v>
      </x:c>
      <x:c r="E9" s="10" t="str">
        <x:v>SND</x:v>
      </x:c>
      <x:c r="F9" s="10" t="str">
        <x:v>Size</x:v>
      </x:c>
      <x:c r="G9" s="10" t="str">
        <x:v>XL</x:v>
      </x:c>
      <x:c r="H9" s="10" t="str">
        <x:v>XL</x:v>
      </x:c>
      <x:c r="I9" s="10" t="str">
        <x:f>"HT-"&amp;B9&amp;"-"&amp;E9&amp;"-"&amp;H9</x:f>
        <x:v>HT-TEE-SND-XL</x:v>
      </x:c>
      <x:c r="J9" s="10" t="n">
        <x:v>28</x:v>
      </x:c>
      <x:c r="K9" s="10" t="n">
        <x:v>10</x:v>
      </x:c>
      <x:c r="L9" s="10" t="str">
        <x:v>https://harbor-thread.example/tee-sand.jpg</x:v>
      </x:c>
      <x:c r="M9" s="10" t="str">
        <x:v>Tops</x:v>
      </x:c>
      <x:c r="N9" s="10" t="str">
        <x:v>Cotton</x:v>
      </x:c>
      <x:c r="O9" s="10" t="str">
        <x:f>IF(COUNTIF($I$2:$I$25,I9)=1,"PASS","DUPLICATE")</x:f>
        <x:v>PASS</x:v>
      </x:c>
      <x:c r="P9" s="10" t="str">
        <x:f>IF(AND(ISNUMBER(K9),K9&gt;=0),"PASS","REVIEW")</x:f>
        <x:v>PASS</x:v>
      </x:c>
      <x:c r="Q9" s="10" t="str">
        <x:f>IF(LEFT(L9,8)="https://","PASS","REVIEW")</x:f>
        <x:v>PASS</x:v>
      </x:c>
    </x:row>
    <x:row r="10">
      <x:c r="A10" s="10" t="str">
        <x:v>Everyday Cotton Tee</x:v>
      </x:c>
      <x:c r="B10" s="10" t="str">
        <x:v>TEE</x:v>
      </x:c>
      <x:c r="C10" s="10" t="str">
        <x:v>Color</x:v>
      </x:c>
      <x:c r="D10" s="10" t="str">
        <x:v>White</x:v>
      </x:c>
      <x:c r="E10" s="10" t="str">
        <x:v>WHT</x:v>
      </x:c>
      <x:c r="F10" s="10" t="str">
        <x:v>Size</x:v>
      </x:c>
      <x:c r="G10" s="10" t="str">
        <x:v>S</x:v>
      </x:c>
      <x:c r="H10" s="10" t="str">
        <x:v>S</x:v>
      </x:c>
      <x:c r="I10" s="10" t="str">
        <x:f>"HT-"&amp;B10&amp;"-"&amp;E10&amp;"-"&amp;H10</x:f>
        <x:v>HT-TEE-WHT-S</x:v>
      </x:c>
      <x:c r="J10" s="10" t="n">
        <x:v>28</x:v>
      </x:c>
      <x:c r="K10" s="10" t="n">
        <x:v>22</x:v>
      </x:c>
      <x:c r="L10" s="10" t="str">
        <x:v>https://harbor-thread.example/tee-white.jpg</x:v>
      </x:c>
      <x:c r="M10" s="10" t="str">
        <x:v>Tops</x:v>
      </x:c>
      <x:c r="N10" s="10" t="str">
        <x:v>Cotton</x:v>
      </x:c>
      <x:c r="O10" s="10" t="str">
        <x:f>IF(COUNTIF($I$2:$I$25,I10)=1,"PASS","DUPLICATE")</x:f>
        <x:v>PASS</x:v>
      </x:c>
      <x:c r="P10" s="10" t="str">
        <x:f>IF(AND(ISNUMBER(K10),K10&gt;=0),"PASS","REVIEW")</x:f>
        <x:v>PASS</x:v>
      </x:c>
      <x:c r="Q10" s="10" t="str">
        <x:f>IF(LEFT(L10,8)="https://","PASS","REVIEW")</x:f>
        <x:v>PASS</x:v>
      </x:c>
    </x:row>
    <x:row r="11">
      <x:c r="A11" s="10" t="str">
        <x:v>Everyday Cotton Tee</x:v>
      </x:c>
      <x:c r="B11" s="10" t="str">
        <x:v>TEE</x:v>
      </x:c>
      <x:c r="C11" s="10" t="str">
        <x:v>Color</x:v>
      </x:c>
      <x:c r="D11" s="10" t="str">
        <x:v>White</x:v>
      </x:c>
      <x:c r="E11" s="10" t="str">
        <x:v>WHT</x:v>
      </x:c>
      <x:c r="F11" s="10" t="str">
        <x:v>Size</x:v>
      </x:c>
      <x:c r="G11" s="10" t="str">
        <x:v>M</x:v>
      </x:c>
      <x:c r="H11" s="10" t="str">
        <x:v>M</x:v>
      </x:c>
      <x:c r="I11" s="10" t="str">
        <x:f>"HT-"&amp;B11&amp;"-"&amp;E11&amp;"-"&amp;H11</x:f>
        <x:v>HT-TEE-WHT-M</x:v>
      </x:c>
      <x:c r="J11" s="10" t="n">
        <x:v>28</x:v>
      </x:c>
      <x:c r="K11" s="10" t="n">
        <x:v>19</x:v>
      </x:c>
      <x:c r="L11" s="10" t="str">
        <x:v>https://harbor-thread.example/tee-white.jpg</x:v>
      </x:c>
      <x:c r="M11" s="10" t="str">
        <x:v>Tops</x:v>
      </x:c>
      <x:c r="N11" s="10" t="str">
        <x:v>Cotton</x:v>
      </x:c>
      <x:c r="O11" s="10" t="str">
        <x:f>IF(COUNTIF($I$2:$I$25,I11)=1,"PASS","DUPLICATE")</x:f>
        <x:v>PASS</x:v>
      </x:c>
      <x:c r="P11" s="10" t="str">
        <x:f>IF(AND(ISNUMBER(K11),K11&gt;=0),"PASS","REVIEW")</x:f>
        <x:v>PASS</x:v>
      </x:c>
      <x:c r="Q11" s="10" t="str">
        <x:f>IF(LEFT(L11,8)="https://","PASS","REVIEW")</x:f>
        <x:v>PASS</x:v>
      </x:c>
    </x:row>
    <x:row r="12">
      <x:c r="A12" s="10" t="str">
        <x:v>Everyday Cotton Tee</x:v>
      </x:c>
      <x:c r="B12" s="10" t="str">
        <x:v>TEE</x:v>
      </x:c>
      <x:c r="C12" s="10" t="str">
        <x:v>Color</x:v>
      </x:c>
      <x:c r="D12" s="10" t="str">
        <x:v>White</x:v>
      </x:c>
      <x:c r="E12" s="10" t="str">
        <x:v>WHT</x:v>
      </x:c>
      <x:c r="F12" s="10" t="str">
        <x:v>Size</x:v>
      </x:c>
      <x:c r="G12" s="10" t="str">
        <x:v>L</x:v>
      </x:c>
      <x:c r="H12" s="10" t="str">
        <x:v>L</x:v>
      </x:c>
      <x:c r="I12" s="10" t="str">
        <x:f>"HT-"&amp;B12&amp;"-"&amp;E12&amp;"-"&amp;H12</x:f>
        <x:v>HT-TEE-WHT-L</x:v>
      </x:c>
      <x:c r="J12" s="10" t="n">
        <x:v>28</x:v>
      </x:c>
      <x:c r="K12" s="10" t="n">
        <x:v>15</x:v>
      </x:c>
      <x:c r="L12" s="10" t="str">
        <x:v>https://harbor-thread.example/tee-white.jpg</x:v>
      </x:c>
      <x:c r="M12" s="10" t="str">
        <x:v>Tops</x:v>
      </x:c>
      <x:c r="N12" s="10" t="str">
        <x:v>Cotton</x:v>
      </x:c>
      <x:c r="O12" s="10" t="str">
        <x:f>IF(COUNTIF($I$2:$I$25,I12)=1,"PASS","DUPLICATE")</x:f>
        <x:v>PASS</x:v>
      </x:c>
      <x:c r="P12" s="10" t="str">
        <x:f>IF(AND(ISNUMBER(K12),K12&gt;=0),"PASS","REVIEW")</x:f>
        <x:v>PASS</x:v>
      </x:c>
      <x:c r="Q12" s="10" t="str">
        <x:f>IF(LEFT(L12,8)="https://","PASS","REVIEW")</x:f>
        <x:v>PASS</x:v>
      </x:c>
    </x:row>
    <x:row r="13">
      <x:c r="A13" s="10" t="str">
        <x:v>Everyday Cotton Tee</x:v>
      </x:c>
      <x:c r="B13" s="10" t="str">
        <x:v>TEE</x:v>
      </x:c>
      <x:c r="C13" s="10" t="str">
        <x:v>Color</x:v>
      </x:c>
      <x:c r="D13" s="10" t="str">
        <x:v>White</x:v>
      </x:c>
      <x:c r="E13" s="10" t="str">
        <x:v>WHT</x:v>
      </x:c>
      <x:c r="F13" s="10" t="str">
        <x:v>Size</x:v>
      </x:c>
      <x:c r="G13" s="10" t="str">
        <x:v>XL</x:v>
      </x:c>
      <x:c r="H13" s="10" t="str">
        <x:v>XL</x:v>
      </x:c>
      <x:c r="I13" s="10" t="str">
        <x:f>"HT-"&amp;B13&amp;"-"&amp;E13&amp;"-"&amp;H13</x:f>
        <x:v>HT-TEE-WHT-XL</x:v>
      </x:c>
      <x:c r="J13" s="10" t="n">
        <x:v>28</x:v>
      </x:c>
      <x:c r="K13" s="10" t="n">
        <x:v>11</x:v>
      </x:c>
      <x:c r="L13" s="10" t="str">
        <x:v>https://harbor-thread.example/tee-white.jpg</x:v>
      </x:c>
      <x:c r="M13" s="10" t="str">
        <x:v>Tops</x:v>
      </x:c>
      <x:c r="N13" s="10" t="str">
        <x:v>Cotton</x:v>
      </x:c>
      <x:c r="O13" s="10" t="str">
        <x:f>IF(COUNTIF($I$2:$I$25,I13)=1,"PASS","DUPLICATE")</x:f>
        <x:v>PASS</x:v>
      </x:c>
      <x:c r="P13" s="10" t="str">
        <x:f>IF(AND(ISNUMBER(K13),K13&gt;=0),"PASS","REVIEW")</x:f>
        <x:v>PASS</x:v>
      </x:c>
      <x:c r="Q13" s="10" t="str">
        <x:f>IF(LEFT(L13,8)="https://","PASS","REVIEW")</x:f>
        <x:v>PASS</x:v>
      </x:c>
    </x:row>
    <x:row r="14">
      <x:c r="A14" s="10" t="str">
        <x:v>Ribbed Crew Sweater</x:v>
      </x:c>
      <x:c r="B14" s="10" t="str">
        <x:v>SWT</x:v>
      </x:c>
      <x:c r="C14" s="10" t="str">
        <x:v>Color</x:v>
      </x:c>
      <x:c r="D14" s="10" t="str">
        <x:v>Charcoal</x:v>
      </x:c>
      <x:c r="E14" s="10" t="str">
        <x:v>CHR</x:v>
      </x:c>
      <x:c r="F14" s="10" t="str">
        <x:v>Size</x:v>
      </x:c>
      <x:c r="G14" s="10" t="str">
        <x:v>S</x:v>
      </x:c>
      <x:c r="H14" s="10" t="str">
        <x:v>S</x:v>
      </x:c>
      <x:c r="I14" s="10" t="str">
        <x:f>"HT-"&amp;B14&amp;"-"&amp;E14&amp;"-"&amp;H14</x:f>
        <x:v>HT-SWT-CHR-S</x:v>
      </x:c>
      <x:c r="J14" s="10" t="n">
        <x:v>54</x:v>
      </x:c>
      <x:c r="K14" s="10" t="n">
        <x:v>9</x:v>
      </x:c>
      <x:c r="L14" s="10" t="str">
        <x:v>https://harbor-thread.example/sweater-charcoal.jpg</x:v>
      </x:c>
      <x:c r="M14" s="10" t="str">
        <x:v>Knitwear</x:v>
      </x:c>
      <x:c r="N14" s="10" t="str">
        <x:v>Cotton Blend</x:v>
      </x:c>
      <x:c r="O14" s="10" t="str">
        <x:f>IF(COUNTIF($I$2:$I$25,I14)=1,"PASS","DUPLICATE")</x:f>
        <x:v>PASS</x:v>
      </x:c>
      <x:c r="P14" s="10" t="str">
        <x:f>IF(AND(ISNUMBER(K14),K14&gt;=0),"PASS","REVIEW")</x:f>
        <x:v>PASS</x:v>
      </x:c>
      <x:c r="Q14" s="10" t="str">
        <x:f>IF(LEFT(L14,8)="https://","PASS","REVIEW")</x:f>
        <x:v>PASS</x:v>
      </x:c>
    </x:row>
    <x:row r="15">
      <x:c r="A15" s="10" t="str">
        <x:v>Ribbed Crew Sweater</x:v>
      </x:c>
      <x:c r="B15" s="10" t="str">
        <x:v>SWT</x:v>
      </x:c>
      <x:c r="C15" s="10" t="str">
        <x:v>Color</x:v>
      </x:c>
      <x:c r="D15" s="10" t="str">
        <x:v>Charcoal</x:v>
      </x:c>
      <x:c r="E15" s="10" t="str">
        <x:v>CHR</x:v>
      </x:c>
      <x:c r="F15" s="10" t="str">
        <x:v>Size</x:v>
      </x:c>
      <x:c r="G15" s="10" t="str">
        <x:v>M</x:v>
      </x:c>
      <x:c r="H15" s="10" t="str">
        <x:v>M</x:v>
      </x:c>
      <x:c r="I15" s="10" t="str">
        <x:f>"HT-"&amp;B15&amp;"-"&amp;E15&amp;"-"&amp;H15</x:f>
        <x:v>HT-SWT-CHR-M</x:v>
      </x:c>
      <x:c r="J15" s="10" t="n">
        <x:v>54</x:v>
      </x:c>
      <x:c r="K15" s="10" t="n">
        <x:v>13</x:v>
      </x:c>
      <x:c r="L15" s="10" t="str">
        <x:v>https://harbor-thread.example/sweater-charcoal.jpg</x:v>
      </x:c>
      <x:c r="M15" s="10" t="str">
        <x:v>Knitwear</x:v>
      </x:c>
      <x:c r="N15" s="10" t="str">
        <x:v>Cotton Blend</x:v>
      </x:c>
      <x:c r="O15" s="10" t="str">
        <x:f>IF(COUNTIF($I$2:$I$25,I15)=1,"PASS","DUPLICATE")</x:f>
        <x:v>PASS</x:v>
      </x:c>
      <x:c r="P15" s="10" t="str">
        <x:f>IF(AND(ISNUMBER(K15),K15&gt;=0),"PASS","REVIEW")</x:f>
        <x:v>PASS</x:v>
      </x:c>
      <x:c r="Q15" s="10" t="str">
        <x:f>IF(LEFT(L15,8)="https://","PASS","REVIEW")</x:f>
        <x:v>PASS</x:v>
      </x:c>
    </x:row>
    <x:row r="16">
      <x:c r="A16" s="10" t="str">
        <x:v>Ribbed Crew Sweater</x:v>
      </x:c>
      <x:c r="B16" s="10" t="str">
        <x:v>SWT</x:v>
      </x:c>
      <x:c r="C16" s="10" t="str">
        <x:v>Color</x:v>
      </x:c>
      <x:c r="D16" s="10" t="str">
        <x:v>Charcoal</x:v>
      </x:c>
      <x:c r="E16" s="10" t="str">
        <x:v>CHR</x:v>
      </x:c>
      <x:c r="F16" s="10" t="str">
        <x:v>Size</x:v>
      </x:c>
      <x:c r="G16" s="10" t="str">
        <x:v>L</x:v>
      </x:c>
      <x:c r="H16" s="10" t="str">
        <x:v>L</x:v>
      </x:c>
      <x:c r="I16" s="10" t="str">
        <x:f>"HT-"&amp;B16&amp;"-"&amp;E16&amp;"-"&amp;H16</x:f>
        <x:v>HT-SWT-CHR-L</x:v>
      </x:c>
      <x:c r="J16" s="10" t="n">
        <x:v>54</x:v>
      </x:c>
      <x:c r="K16" s="10" t="n">
        <x:v>11</x:v>
      </x:c>
      <x:c r="L16" s="10" t="str">
        <x:v>https://harbor-thread.example/sweater-charcoal.jpg</x:v>
      </x:c>
      <x:c r="M16" s="10" t="str">
        <x:v>Knitwear</x:v>
      </x:c>
      <x:c r="N16" s="10" t="str">
        <x:v>Cotton Blend</x:v>
      </x:c>
      <x:c r="O16" s="10" t="str">
        <x:f>IF(COUNTIF($I$2:$I$25,I16)=1,"PASS","DUPLICATE")</x:f>
        <x:v>PASS</x:v>
      </x:c>
      <x:c r="P16" s="10" t="str">
        <x:f>IF(AND(ISNUMBER(K16),K16&gt;=0),"PASS","REVIEW")</x:f>
        <x:v>PASS</x:v>
      </x:c>
      <x:c r="Q16" s="10" t="str">
        <x:f>IF(LEFT(L16,8)="https://","PASS","REVIEW")</x:f>
        <x:v>PASS</x:v>
      </x:c>
    </x:row>
    <x:row r="17">
      <x:c r="A17" s="10" t="str">
        <x:v>Ribbed Crew Sweater</x:v>
      </x:c>
      <x:c r="B17" s="10" t="str">
        <x:v>SWT</x:v>
      </x:c>
      <x:c r="C17" s="10" t="str">
        <x:v>Color</x:v>
      </x:c>
      <x:c r="D17" s="10" t="str">
        <x:v>Oat</x:v>
      </x:c>
      <x:c r="E17" s="10" t="str">
        <x:v>OAT</x:v>
      </x:c>
      <x:c r="F17" s="10" t="str">
        <x:v>Size</x:v>
      </x:c>
      <x:c r="G17" s="10" t="str">
        <x:v>S</x:v>
      </x:c>
      <x:c r="H17" s="10" t="str">
        <x:v>S</x:v>
      </x:c>
      <x:c r="I17" s="10" t="str">
        <x:f>"HT-"&amp;B17&amp;"-"&amp;E17&amp;"-"&amp;H17</x:f>
        <x:v>HT-SWT-OAT-S</x:v>
      </x:c>
      <x:c r="J17" s="10" t="n">
        <x:v>54</x:v>
      </x:c>
      <x:c r="K17" s="10" t="n">
        <x:v>10</x:v>
      </x:c>
      <x:c r="L17" s="10" t="str">
        <x:v>https://harbor-thread.example/sweater-oat.jpg</x:v>
      </x:c>
      <x:c r="M17" s="10" t="str">
        <x:v>Knitwear</x:v>
      </x:c>
      <x:c r="N17" s="10" t="str">
        <x:v>Cotton Blend</x:v>
      </x:c>
      <x:c r="O17" s="10" t="str">
        <x:f>IF(COUNTIF($I$2:$I$25,I17)=1,"PASS","DUPLICATE")</x:f>
        <x:v>PASS</x:v>
      </x:c>
      <x:c r="P17" s="10" t="str">
        <x:f>IF(AND(ISNUMBER(K17),K17&gt;=0),"PASS","REVIEW")</x:f>
        <x:v>PASS</x:v>
      </x:c>
      <x:c r="Q17" s="10" t="str">
        <x:f>IF(LEFT(L17,8)="https://","PASS","REVIEW")</x:f>
        <x:v>PASS</x:v>
      </x:c>
    </x:row>
    <x:row r="18">
      <x:c r="A18" s="10" t="str">
        <x:v>Ribbed Crew Sweater</x:v>
      </x:c>
      <x:c r="B18" s="10" t="str">
        <x:v>SWT</x:v>
      </x:c>
      <x:c r="C18" s="10" t="str">
        <x:v>Color</x:v>
      </x:c>
      <x:c r="D18" s="10" t="str">
        <x:v>Oat</x:v>
      </x:c>
      <x:c r="E18" s="10" t="str">
        <x:v>OAT</x:v>
      </x:c>
      <x:c r="F18" s="10" t="str">
        <x:v>Size</x:v>
      </x:c>
      <x:c r="G18" s="10" t="str">
        <x:v>M</x:v>
      </x:c>
      <x:c r="H18" s="10" t="str">
        <x:v>M</x:v>
      </x:c>
      <x:c r="I18" s="10" t="str">
        <x:f>"HT-"&amp;B18&amp;"-"&amp;E18&amp;"-"&amp;H18</x:f>
        <x:v>HT-SWT-OAT-M</x:v>
      </x:c>
      <x:c r="J18" s="10" t="n">
        <x:v>54</x:v>
      </x:c>
      <x:c r="K18" s="10" t="n">
        <x:v>12</x:v>
      </x:c>
      <x:c r="L18" s="10" t="str">
        <x:v>https://harbor-thread.example/sweater-oat.jpg</x:v>
      </x:c>
      <x:c r="M18" s="10" t="str">
        <x:v>Knitwear</x:v>
      </x:c>
      <x:c r="N18" s="10" t="str">
        <x:v>Cotton Blend</x:v>
      </x:c>
      <x:c r="O18" s="10" t="str">
        <x:f>IF(COUNTIF($I$2:$I$25,I18)=1,"PASS","DUPLICATE")</x:f>
        <x:v>PASS</x:v>
      </x:c>
      <x:c r="P18" s="10" t="str">
        <x:f>IF(AND(ISNUMBER(K18),K18&gt;=0),"PASS","REVIEW")</x:f>
        <x:v>PASS</x:v>
      </x:c>
      <x:c r="Q18" s="10" t="str">
        <x:f>IF(LEFT(L18,8)="https://","PASS","REVIEW")</x:f>
        <x:v>PASS</x:v>
      </x:c>
    </x:row>
    <x:row r="19">
      <x:c r="A19" s="10" t="str">
        <x:v>Ribbed Crew Sweater</x:v>
      </x:c>
      <x:c r="B19" s="10" t="str">
        <x:v>SWT</x:v>
      </x:c>
      <x:c r="C19" s="10" t="str">
        <x:v>Color</x:v>
      </x:c>
      <x:c r="D19" s="10" t="str">
        <x:v>Oat</x:v>
      </x:c>
      <x:c r="E19" s="10" t="str">
        <x:v>OAT</x:v>
      </x:c>
      <x:c r="F19" s="10" t="str">
        <x:v>Size</x:v>
      </x:c>
      <x:c r="G19" s="10" t="str">
        <x:v>L</x:v>
      </x:c>
      <x:c r="H19" s="10" t="str">
        <x:v>L</x:v>
      </x:c>
      <x:c r="I19" s="10" t="str">
        <x:f>"HT-"&amp;B19&amp;"-"&amp;E19&amp;"-"&amp;H19</x:f>
        <x:v>HT-SWT-OAT-L</x:v>
      </x:c>
      <x:c r="J19" s="10" t="n">
        <x:v>54</x:v>
      </x:c>
      <x:c r="K19" s="10" t="n">
        <x:v>8</x:v>
      </x:c>
      <x:c r="L19" s="10" t="str">
        <x:v>https://harbor-thread.example/sweater-oat.jpg</x:v>
      </x:c>
      <x:c r="M19" s="10" t="str">
        <x:v>Knitwear</x:v>
      </x:c>
      <x:c r="N19" s="10" t="str">
        <x:v>Cotton Blend</x:v>
      </x:c>
      <x:c r="O19" s="10" t="str">
        <x:f>IF(COUNTIF($I$2:$I$25,I19)=1,"PASS","DUPLICATE")</x:f>
        <x:v>PASS</x:v>
      </x:c>
      <x:c r="P19" s="10" t="str">
        <x:f>IF(AND(ISNUMBER(K19),K19&gt;=0),"PASS","REVIEW")</x:f>
        <x:v>PASS</x:v>
      </x:c>
      <x:c r="Q19" s="10" t="str">
        <x:f>IF(LEFT(L19,8)="https://","PASS","REVIEW")</x:f>
        <x:v>PASS</x:v>
      </x:c>
    </x:row>
    <x:row r="20">
      <x:c r="A20" s="10" t="str">
        <x:v>Canvas Overshirt</x:v>
      </x:c>
      <x:c r="B20" s="10" t="str">
        <x:v>OVR</x:v>
      </x:c>
      <x:c r="C20" s="10" t="str">
        <x:v>Color</x:v>
      </x:c>
      <x:c r="D20" s="10" t="str">
        <x:v>Olive</x:v>
      </x:c>
      <x:c r="E20" s="10" t="str">
        <x:v>OLV</x:v>
      </x:c>
      <x:c r="F20" s="10" t="str">
        <x:v>Size</x:v>
      </x:c>
      <x:c r="G20" s="10" t="str">
        <x:v>M</x:v>
      </x:c>
      <x:c r="H20" s="10" t="str">
        <x:v>M</x:v>
      </x:c>
      <x:c r="I20" s="10" t="str">
        <x:f>"HT-"&amp;B20&amp;"-"&amp;E20&amp;"-"&amp;H20</x:f>
        <x:v>HT-OVR-OLV-M</x:v>
      </x:c>
      <x:c r="J20" s="10" t="n">
        <x:v>68</x:v>
      </x:c>
      <x:c r="K20" s="10" t="n">
        <x:v>7</x:v>
      </x:c>
      <x:c r="L20" s="10" t="str">
        <x:v>https://harbor-thread.example/overshirt-olive.jpg</x:v>
      </x:c>
      <x:c r="M20" s="10" t="str">
        <x:v>Outerwear</x:v>
      </x:c>
      <x:c r="N20" s="10" t="str">
        <x:v>Cotton Canvas</x:v>
      </x:c>
      <x:c r="O20" s="10" t="str">
        <x:f>IF(COUNTIF($I$2:$I$25,I20)=1,"PASS","DUPLICATE")</x:f>
        <x:v>PASS</x:v>
      </x:c>
      <x:c r="P20" s="10" t="str">
        <x:f>IF(AND(ISNUMBER(K20),K20&gt;=0),"PASS","REVIEW")</x:f>
        <x:v>PASS</x:v>
      </x:c>
      <x:c r="Q20" s="10" t="str">
        <x:f>IF(LEFT(L20,8)="https://","PASS","REVIEW")</x:f>
        <x:v>PASS</x:v>
      </x:c>
    </x:row>
    <x:row r="21">
      <x:c r="A21" s="10" t="str">
        <x:v>Canvas Overshirt</x:v>
      </x:c>
      <x:c r="B21" s="10" t="str">
        <x:v>OVR</x:v>
      </x:c>
      <x:c r="C21" s="10" t="str">
        <x:v>Color</x:v>
      </x:c>
      <x:c r="D21" s="10" t="str">
        <x:v>Olive</x:v>
      </x:c>
      <x:c r="E21" s="10" t="str">
        <x:v>OLV</x:v>
      </x:c>
      <x:c r="F21" s="10" t="str">
        <x:v>Size</x:v>
      </x:c>
      <x:c r="G21" s="10" t="str">
        <x:v>L</x:v>
      </x:c>
      <x:c r="H21" s="10" t="str">
        <x:v>L</x:v>
      </x:c>
      <x:c r="I21" s="10" t="str">
        <x:f>"HT-"&amp;B21&amp;"-"&amp;E21&amp;"-"&amp;H21</x:f>
        <x:v>HT-OVR-OLV-L</x:v>
      </x:c>
      <x:c r="J21" s="10" t="n">
        <x:v>68</x:v>
      </x:c>
      <x:c r="K21" s="10" t="n">
        <x:v>9</x:v>
      </x:c>
      <x:c r="L21" s="10" t="str">
        <x:v>https://harbor-thread.example/overshirt-olive.jpg</x:v>
      </x:c>
      <x:c r="M21" s="10" t="str">
        <x:v>Outerwear</x:v>
      </x:c>
      <x:c r="N21" s="10" t="str">
        <x:v>Cotton Canvas</x:v>
      </x:c>
      <x:c r="O21" s="10" t="str">
        <x:f>IF(COUNTIF($I$2:$I$25,I21)=1,"PASS","DUPLICATE")</x:f>
        <x:v>PASS</x:v>
      </x:c>
      <x:c r="P21" s="10" t="str">
        <x:f>IF(AND(ISNUMBER(K21),K21&gt;=0),"PASS","REVIEW")</x:f>
        <x:v>PASS</x:v>
      </x:c>
      <x:c r="Q21" s="10" t="str">
        <x:f>IF(LEFT(L21,8)="https://","PASS","REVIEW")</x:f>
        <x:v>PASS</x:v>
      </x:c>
    </x:row>
    <x:row r="22">
      <x:c r="A22" s="10" t="str">
        <x:v>Canvas Overshirt</x:v>
      </x:c>
      <x:c r="B22" s="10" t="str">
        <x:v>OVR</x:v>
      </x:c>
      <x:c r="C22" s="10" t="str">
        <x:v>Color</x:v>
      </x:c>
      <x:c r="D22" s="10" t="str">
        <x:v>Olive</x:v>
      </x:c>
      <x:c r="E22" s="10" t="str">
        <x:v>OLV</x:v>
      </x:c>
      <x:c r="F22" s="10" t="str">
        <x:v>Size</x:v>
      </x:c>
      <x:c r="G22" s="10" t="str">
        <x:v>XL</x:v>
      </x:c>
      <x:c r="H22" s="10" t="str">
        <x:v>XL</x:v>
      </x:c>
      <x:c r="I22" s="10" t="str">
        <x:f>"HT-"&amp;B22&amp;"-"&amp;E22&amp;"-"&amp;H22</x:f>
        <x:v>HT-OVR-OLV-XL</x:v>
      </x:c>
      <x:c r="J22" s="10" t="n">
        <x:v>68</x:v>
      </x:c>
      <x:c r="K22" s="10" t="n">
        <x:v>6</x:v>
      </x:c>
      <x:c r="L22" s="10" t="str">
        <x:v>https://harbor-thread.example/overshirt-olive.jpg</x:v>
      </x:c>
      <x:c r="M22" s="10" t="str">
        <x:v>Outerwear</x:v>
      </x:c>
      <x:c r="N22" s="10" t="str">
        <x:v>Cotton Canvas</x:v>
      </x:c>
      <x:c r="O22" s="10" t="str">
        <x:f>IF(COUNTIF($I$2:$I$25,I22)=1,"PASS","DUPLICATE")</x:f>
        <x:v>PASS</x:v>
      </x:c>
      <x:c r="P22" s="10" t="str">
        <x:f>IF(AND(ISNUMBER(K22),K22&gt;=0),"PASS","REVIEW")</x:f>
        <x:v>PASS</x:v>
      </x:c>
      <x:c r="Q22" s="10" t="str">
        <x:f>IF(LEFT(L22,8)="https://","PASS","REVIEW")</x:f>
        <x:v>PASS</x:v>
      </x:c>
    </x:row>
    <x:row r="23">
      <x:c r="A23" s="10" t="str">
        <x:v>Canvas Overshirt</x:v>
      </x:c>
      <x:c r="B23" s="10" t="str">
        <x:v>OVR</x:v>
      </x:c>
      <x:c r="C23" s="10" t="str">
        <x:v>Color</x:v>
      </x:c>
      <x:c r="D23" s="10" t="str">
        <x:v>Navy</x:v>
      </x:c>
      <x:c r="E23" s="10" t="str">
        <x:v>NVY</x:v>
      </x:c>
      <x:c r="F23" s="10" t="str">
        <x:v>Size</x:v>
      </x:c>
      <x:c r="G23" s="10" t="str">
        <x:v>M</x:v>
      </x:c>
      <x:c r="H23" s="10" t="str">
        <x:v>M</x:v>
      </x:c>
      <x:c r="I23" s="10" t="str">
        <x:f>"HT-"&amp;B23&amp;"-"&amp;E23&amp;"-"&amp;H23</x:f>
        <x:v>HT-OVR-NVY-M</x:v>
      </x:c>
      <x:c r="J23" s="10" t="n">
        <x:v>68</x:v>
      </x:c>
      <x:c r="K23" s="10" t="n">
        <x:v>8</x:v>
      </x:c>
      <x:c r="L23" s="10" t="str">
        <x:v>https://harbor-thread.example/overshirt-navy.jpg</x:v>
      </x:c>
      <x:c r="M23" s="10" t="str">
        <x:v>Outerwear</x:v>
      </x:c>
      <x:c r="N23" s="10" t="str">
        <x:v>Cotton Canvas</x:v>
      </x:c>
      <x:c r="O23" s="10" t="str">
        <x:f>IF(COUNTIF($I$2:$I$25,I23)=1,"PASS","DUPLICATE")</x:f>
        <x:v>PASS</x:v>
      </x:c>
      <x:c r="P23" s="10" t="str">
        <x:f>IF(AND(ISNUMBER(K23),K23&gt;=0),"PASS","REVIEW")</x:f>
        <x:v>PASS</x:v>
      </x:c>
      <x:c r="Q23" s="10" t="str">
        <x:f>IF(LEFT(L23,8)="https://","PASS","REVIEW")</x:f>
        <x:v>PASS</x:v>
      </x:c>
    </x:row>
    <x:row r="24">
      <x:c r="A24" s="10" t="str">
        <x:v>Canvas Overshirt</x:v>
      </x:c>
      <x:c r="B24" s="10" t="str">
        <x:v>OVR</x:v>
      </x:c>
      <x:c r="C24" s="10" t="str">
        <x:v>Color</x:v>
      </x:c>
      <x:c r="D24" s="10" t="str">
        <x:v>Navy</x:v>
      </x:c>
      <x:c r="E24" s="10" t="str">
        <x:v>NVY</x:v>
      </x:c>
      <x:c r="F24" s="10" t="str">
        <x:v>Size</x:v>
      </x:c>
      <x:c r="G24" s="10" t="str">
        <x:v>L</x:v>
      </x:c>
      <x:c r="H24" s="10" t="str">
        <x:v>L</x:v>
      </x:c>
      <x:c r="I24" s="10" t="str">
        <x:f>"HT-"&amp;B24&amp;"-"&amp;E24&amp;"-"&amp;H24</x:f>
        <x:v>HT-OVR-NVY-L</x:v>
      </x:c>
      <x:c r="J24" s="10" t="n">
        <x:v>68</x:v>
      </x:c>
      <x:c r="K24" s="10" t="n">
        <x:v>10</x:v>
      </x:c>
      <x:c r="L24" s="10" t="str">
        <x:v>https://harbor-thread.example/overshirt-navy.jpg</x:v>
      </x:c>
      <x:c r="M24" s="10" t="str">
        <x:v>Outerwear</x:v>
      </x:c>
      <x:c r="N24" s="10" t="str">
        <x:v>Cotton Canvas</x:v>
      </x:c>
      <x:c r="O24" s="10" t="str">
        <x:f>IF(COUNTIF($I$2:$I$25,I24)=1,"PASS","DUPLICATE")</x:f>
        <x:v>PASS</x:v>
      </x:c>
      <x:c r="P24" s="10" t="str">
        <x:f>IF(AND(ISNUMBER(K24),K24&gt;=0),"PASS","REVIEW")</x:f>
        <x:v>PASS</x:v>
      </x:c>
      <x:c r="Q24" s="10" t="str">
        <x:f>IF(LEFT(L24,8)="https://","PASS","REVIEW")</x:f>
        <x:v>PASS</x:v>
      </x:c>
    </x:row>
    <x:row r="25">
      <x:c r="A25" s="10" t="str">
        <x:v>Canvas Overshirt</x:v>
      </x:c>
      <x:c r="B25" s="10" t="str">
        <x:v>OVR</x:v>
      </x:c>
      <x:c r="C25" s="10" t="str">
        <x:v>Color</x:v>
      </x:c>
      <x:c r="D25" s="10" t="str">
        <x:v>Navy</x:v>
      </x:c>
      <x:c r="E25" s="10" t="str">
        <x:v>NVY</x:v>
      </x:c>
      <x:c r="F25" s="10" t="str">
        <x:v>Size</x:v>
      </x:c>
      <x:c r="G25" s="10" t="str">
        <x:v>XL</x:v>
      </x:c>
      <x:c r="H25" s="10" t="str">
        <x:v>XL</x:v>
      </x:c>
      <x:c r="I25" s="10" t="str">
        <x:f>"HT-"&amp;B25&amp;"-"&amp;E25&amp;"-"&amp;H25</x:f>
        <x:v>HT-OVR-NVY-XL</x:v>
      </x:c>
      <x:c r="J25" s="10" t="n">
        <x:v>68</x:v>
      </x:c>
      <x:c r="K25" s="10" t="n">
        <x:v>5</x:v>
      </x:c>
      <x:c r="L25" s="10" t="str">
        <x:v>https://harbor-thread.example/overshirt-navy.jpg</x:v>
      </x:c>
      <x:c r="M25" s="10" t="str">
        <x:v>Outerwear</x:v>
      </x:c>
      <x:c r="N25" s="10" t="str">
        <x:v>Cotton Canvas</x:v>
      </x:c>
      <x:c r="O25" s="10" t="str">
        <x:f>IF(COUNTIF($I$2:$I$25,I25)=1,"PASS","DUPLICATE")</x:f>
        <x:v>PASS</x:v>
      </x:c>
      <x:c r="P25" s="10" t="str">
        <x:f>IF(AND(ISNUMBER(K25),K25&gt;=0),"PASS","REVIEW")</x:f>
        <x:v>PASS</x:v>
      </x:c>
      <x:c r="Q25" s="10" t="str">
        <x:f>IF(LEFT(L25,8)="https://","PASS","REVIEW")</x:f>
        <x:v>PASS</x:v>
      </x:c>
    </x:row>
  </x:sheetData>
  <x:conditionalFormatting sqref="O2:Q25">
    <x:cfRule type="expression" dxfId="0" priority="1">
      <x:formula>O2="PASS"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42b3a8db13b4a9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22" hidden="0" customWidth="1"/>
    <x:col min="4" max="4" width="40" hidden="0" customWidth="1"/>
    <x:col min="5" max="5" width="48" hidden="0" customWidth="1"/>
    <x:col min="6" max="6" width="12" hidden="0" customWidth="1"/>
    <x:col min="7" max="7" width="28" hidden="0" customWidth="1"/>
  </x:cols>
  <x:sheetData>
    <x:row r="1">
      <x:c r="A1" s="5" t="str">
        <x:v>Issue ID</x:v>
      </x:c>
      <x:c r="B1" s="5" t="str">
        <x:v>Source Row</x:v>
      </x:c>
      <x:c r="C1" s="5" t="str">
        <x:v>Issue Type</x:v>
      </x:c>
      <x:c r="D1" s="5" t="str">
        <x:v>Observed Source Issue</x:v>
      </x:c>
      <x:c r="E1" s="5" t="str">
        <x:v>Resolution Applied</x:v>
      </x:c>
      <x:c r="F1" s="5" t="str">
        <x:v>QA Result</x:v>
      </x:c>
      <x:c r="G1" s="16" t="str">
        <x:v>Resolution Basis</x:v>
      </x:c>
    </x:row>
    <x:row r="2" ht="42" customHeight="1">
      <x:c r="A2" s="10" t="str">
        <x:v>HT-E01</x:v>
      </x:c>
      <x:c r="B2" s="10" t="str">
        <x:v>2</x:v>
      </x:c>
      <x:c r="C2" s="10" t="str">
        <x:v>Option normalization</x:v>
      </x:c>
      <x:c r="D2" s="10" t="str">
        <x:v>Color supplied as NAVY and collection as tops.</x:v>
      </x:c>
      <x:c r="E2" s="10" t="str">
        <x:v>Canonicalized to Navy / Tops using approved naming standard.</x:v>
      </x:c>
      <x:c r="F2" s="10" t="str">
        <x:v>PASS</x:v>
      </x:c>
      <x:c r="G2" s="10" t="str">
        <x:v>Naming standard</x:v>
      </x:c>
    </x:row>
    <x:row r="3" ht="42" customHeight="1">
      <x:c r="A3" s="10" t="str">
        <x:v>HT-E02</x:v>
      </x:c>
      <x:c r="B3" s="10" t="str">
        <x:v>6</x:v>
      </x:c>
      <x:c r="C3" s="10" t="str">
        <x:v>Size normalization</x:v>
      </x:c>
      <x:c r="D3" s="10" t="str">
        <x:v>Size supplied as medium instead of M.</x:v>
      </x:c>
      <x:c r="E3" s="10" t="str">
        <x:v>Normalized to M while keeping the size code M.</x:v>
      </x:c>
      <x:c r="F3" s="10" t="str">
        <x:v>PASS</x:v>
      </x:c>
      <x:c r="G3" s="10" t="str">
        <x:v>Size convention</x:v>
      </x:c>
    </x:row>
    <x:row r="4" ht="42" customHeight="1">
      <x:c r="A4" s="10" t="str">
        <x:v>HT-E03</x:v>
      </x:c>
      <x:c r="B4" s="10" t="str">
        <x:v>11</x:v>
      </x:c>
      <x:c r="C4" s="10" t="str">
        <x:v>Duplicate SKU</x:v>
      </x:c>
      <x:c r="D4" s="10" t="str">
        <x:v>White/L shared the White/M source SKU.</x:v>
      </x:c>
      <x:c r="E4" s="10" t="str">
        <x:v>Regenerated SKU from product/color/size codes: HT-TEE-WHT-L.</x:v>
      </x:c>
      <x:c r="F4" s="10" t="str">
        <x:v>PASS</x:v>
      </x:c>
      <x:c r="G4" s="10" t="str">
        <x:v>SKU convention</x:v>
      </x:c>
    </x:row>
    <x:row r="5" ht="42" customHeight="1">
      <x:c r="A5" s="10" t="str">
        <x:v>HT-E04</x:v>
      </x:c>
      <x:c r="B5" s="10" t="str">
        <x:v>12</x:v>
      </x:c>
      <x:c r="C5" s="10" t="str">
        <x:v>Missing SKU</x:v>
      </x:c>
      <x:c r="D5" s="10" t="str">
        <x:v>White/XL had no source SKU.</x:v>
      </x:c>
      <x:c r="E5" s="10" t="str">
        <x:v>Generated HT-TEE-WHT-XL from the documented SKU convention.</x:v>
      </x:c>
      <x:c r="F5" s="10" t="str">
        <x:v>PASS</x:v>
      </x:c>
      <x:c r="G5" s="10" t="str">
        <x:v>SKU convention</x:v>
      </x:c>
    </x:row>
    <x:row r="6" ht="42" customHeight="1">
      <x:c r="A6" s="10" t="str">
        <x:v>HT-E05</x:v>
      </x:c>
      <x:c r="B6" s="10" t="str">
        <x:v>15</x:v>
      </x:c>
      <x:c r="C6" s="10" t="str">
        <x:v>Invalid inventory</x:v>
      </x:c>
      <x:c r="D6" s="10" t="str">
        <x:v>Charcoal/L inventory was -2.</x:v>
      </x:c>
      <x:c r="E6" s="10" t="str">
        <x:v>Corrected inventory from -2 to 11 using the documented resolution value.</x:v>
      </x:c>
      <x:c r="F6" s="10" t="str">
        <x:v>PASS</x:v>
      </x:c>
      <x:c r="G6" s="10" t="str">
        <x:v>Documented resolution value</x:v>
      </x:c>
    </x:row>
    <x:row r="7" ht="42" customHeight="1">
      <x:c r="A7" s="10" t="str">
        <x:v>HT-E06</x:v>
      </x:c>
      <x:c r="B7" s="10" t="str">
        <x:v>17</x:v>
      </x:c>
      <x:c r="C7" s="10" t="str">
        <x:v>Missing image</x:v>
      </x:c>
      <x:c r="D7" s="10" t="str">
        <x:v>Oat/M had no variant image URL.</x:v>
      </x:c>
      <x:c r="E7" s="10" t="str">
        <x:v>Mapped approved Oat sweater image used by the same color family.</x:v>
      </x:c>
      <x:c r="F7" s="10" t="str">
        <x:v>PASS</x:v>
      </x:c>
      <x:c r="G7" s="10" t="str">
        <x:v>Existing Oat color-family image</x:v>
      </x:c>
    </x:row>
    <x:row r="8" ht="42" customHeight="1">
      <x:c r="A8" s="10" t="str">
        <x:v>HT-E07</x:v>
      </x:c>
      <x:c r="B8" s="10" t="str">
        <x:v>19</x:v>
      </x:c>
      <x:c r="C8" s="10" t="str">
        <x:v>Price formatting</x:v>
      </x:c>
      <x:c r="D8" s="10" t="str">
        <x:v>Overshirt price supplied as text '$68.00'.</x:v>
      </x:c>
      <x:c r="E8" s="10" t="str">
        <x:v>Normalized to numeric 68.00 for bulk operations.</x:v>
      </x:c>
      <x:c r="F8" s="10" t="str">
        <x:v>PASS</x:v>
      </x:c>
      <x:c r="G8" s="10" t="str">
        <x:v>Numeric price normalization</x:v>
      </x:c>
    </x:row>
  </x:sheetData>
  <x:pageMargins left="0.7" right="0.7" top="0.75" bottom="0.75" header="0.3" footer="0.3"/>
  <x:tableParts count="1">
    <x:tablePart xmlns:r="http://schemas.openxmlformats.org/officeDocument/2006/relationships" r:id="R3efcba985a194e1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28" hidden="0" customWidth="1"/>
    <x:col min="4" max="4" width="20" hidden="0" customWidth="1"/>
    <x:col min="5" max="5" width="22" hidden="0" customWidth="1"/>
    <x:col min="6" max="6" width="13" hidden="0" customWidth="1"/>
    <x:col min="7" max="7" width="14" hidden="0" customWidth="1"/>
  </x:cols>
  <x:sheetData>
    <x:row r="1">
      <x:c r="A1" s="5" t="str">
        <x:v>Product</x:v>
      </x:c>
      <x:c r="B1" s="5" t="str">
        <x:v>Collection</x:v>
      </x:c>
      <x:c r="C1" s="5" t="str">
        <x:v>Filter: Color</x:v>
      </x:c>
      <x:c r="D1" s="5" t="str">
        <x:v>Filter: Size</x:v>
      </x:c>
      <x:c r="E1" s="5" t="str">
        <x:v>Filter: Material</x:v>
      </x:c>
      <x:c r="F1" s="5" t="str">
        <x:v>Variant Count</x:v>
      </x:c>
      <x:c r="G1" s="5" t="str">
        <x:v>Readiness</x:v>
      </x:c>
    </x:row>
    <x:row r="2">
      <x:c r="A2" s="10" t="str">
        <x:v>Everyday Cotton Tee</x:v>
      </x:c>
      <x:c r="B2" s="10" t="str">
        <x:v>Tops</x:v>
      </x:c>
      <x:c r="C2" s="10" t="str">
        <x:v>Navy, Sand, White</x:v>
      </x:c>
      <x:c r="D2" s="10" t="str">
        <x:v>S, M, L, XL</x:v>
      </x:c>
      <x:c r="E2" s="10" t="str">
        <x:v>Cotton</x:v>
      </x:c>
      <x:c r="F2" s="10" t="n">
        <x:v>12</x:v>
      </x:c>
      <x:c r="G2" s="10" t="str">
        <x:v>READY</x:v>
      </x:c>
    </x:row>
    <x:row r="3">
      <x:c r="A3" s="10" t="str">
        <x:v>Ribbed Crew Sweater</x:v>
      </x:c>
      <x:c r="B3" s="10" t="str">
        <x:v>Knitwear</x:v>
      </x:c>
      <x:c r="C3" s="10" t="str">
        <x:v>Charcoal, Oat</x:v>
      </x:c>
      <x:c r="D3" s="10" t="str">
        <x:v>S, M, L</x:v>
      </x:c>
      <x:c r="E3" s="10" t="str">
        <x:v>Cotton Blend</x:v>
      </x:c>
      <x:c r="F3" s="10" t="n">
        <x:v>6</x:v>
      </x:c>
      <x:c r="G3" s="10" t="str">
        <x:v>READY</x:v>
      </x:c>
    </x:row>
    <x:row r="4">
      <x:c r="A4" s="10" t="str">
        <x:v>Canvas Overshirt</x:v>
      </x:c>
      <x:c r="B4" s="10" t="str">
        <x:v>Outerwear</x:v>
      </x:c>
      <x:c r="C4" s="10" t="str">
        <x:v>Olive, Navy</x:v>
      </x:c>
      <x:c r="D4" s="10" t="str">
        <x:v>M, L, XL</x:v>
      </x:c>
      <x:c r="E4" s="10" t="str">
        <x:v>Cotton Canvas</x:v>
      </x:c>
      <x:c r="F4" s="10" t="n">
        <x:v>6</x:v>
      </x:c>
      <x:c r="G4" s="10" t="str">
        <x:v>READY</x:v>
      </x:c>
    </x:row>
  </x:sheetData>
  <x:pageMargins left="0.7" right="0.7" top="0.75" bottom="0.75" header="0.3" footer="0.3"/>
  <x:tableParts count="1">
    <x:tablePart xmlns:r="http://schemas.openxmlformats.org/officeDocument/2006/relationships" r:id="Re236a9b1bfe146a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1" hidden="0" customWidth="1"/>
    <x:col min="3" max="3" width="24" hidden="0" customWidth="1"/>
    <x:col min="4" max="4" width="24" hidden="0" customWidth="1"/>
    <x:col min="5" max="5" width="12" hidden="0" customWidth="1"/>
    <x:col min="6" max="6" width="12" hidden="0" customWidth="1"/>
    <x:col min="7" max="7" width="20" hidden="0" customWidth="1"/>
    <x:col min="8" max="8" width="11" hidden="0" customWidth="1"/>
    <x:col min="9" max="9" width="11" hidden="0" customWidth="1"/>
    <x:col min="10" max="10" width="42" hidden="0" customWidth="1"/>
    <x:col min="11" max="11" width="12" hidden="0" customWidth="1"/>
    <x:col min="12" max="12" width="18" hidden="0" customWidth="1"/>
    <x:col min="13" max="13" width="18" hidden="0" customWidth="1"/>
    <x:col min="14" max="14" width="14" hidden="0" customWidth="1"/>
    <x:col min="15" max="15" width="14" hidden="0" customWidth="1"/>
    <x:col min="16" max="16" width="40" hidden="0" customWidth="1"/>
    <x:col min="17" max="17" width="18" hidden="0" customWidth="1"/>
    <x:col min="18" max="18" width="14" hidden="0" customWidth="1"/>
  </x:cols>
  <x:sheetData>
    <x:row r="1">
      <x:c r="A1" s="5" t="str">
        <x:v>Row</x:v>
      </x:c>
      <x:c r="B1" s="5" t="str">
        <x:v>Command</x:v>
      </x:c>
      <x:c r="C1" s="5" t="str">
        <x:v>Handle</x:v>
      </x:c>
      <x:c r="D1" s="5" t="str">
        <x:v>Title</x:v>
      </x:c>
      <x:c r="E1" s="5" t="str">
        <x:v>Color</x:v>
      </x:c>
      <x:c r="F1" s="5" t="str">
        <x:v>Size</x:v>
      </x:c>
      <x:c r="G1" s="5" t="str">
        <x:v>Variant SKU</x:v>
      </x:c>
      <x:c r="H1" s="5" t="str">
        <x:v>Price</x:v>
      </x:c>
      <x:c r="I1" s="5" t="str">
        <x:v>Inventory</x:v>
      </x:c>
      <x:c r="J1" s="5" t="str">
        <x:v>Variant Image</x:v>
      </x:c>
      <x:c r="K1" s="5" t="str">
        <x:v>Product Code</x:v>
      </x:c>
      <x:c r="L1" s="5" t="str">
        <x:v>Expected Collection</x:v>
      </x:c>
      <x:c r="M1" s="5" t="str">
        <x:v>Prepared Collection</x:v>
      </x:c>
      <x:c r="N1" s="5" t="str">
        <x:v>Collection Check</x:v>
      </x:c>
      <x:c r="O1" s="5" t="str">
        <x:v>Row Gate</x:v>
      </x:c>
      <x:c r="P1" s="5" t="str">
        <x:v>Validation Note</x:v>
      </x:c>
      <x:c r="Q1" s="16" t="str">
        <x:v>Final Collection</x:v>
      </x:c>
      <x:c r="R1" s="16" t="str">
        <x:v>Final Check</x:v>
      </x:c>
    </x:row>
    <x:row r="2">
      <x:c r="A2" s="10" t="n">
        <x:v>1</x:v>
      </x:c>
      <x:c r="B2" s="10" t="str">
        <x:v>UPDATE</x:v>
      </x:c>
      <x:c r="C2" s="10" t="str">
        <x:v>everyday-cotton-tee</x:v>
      </x:c>
      <x:c r="D2" s="10" t="str">
        <x:v>Everyday Cotton Tee</x:v>
      </x:c>
      <x:c r="E2" s="10" t="str">
        <x:v>Navy</x:v>
      </x:c>
      <x:c r="F2" s="10" t="str">
        <x:v>S</x:v>
      </x:c>
      <x:c r="G2" s="10" t="str">
        <x:v>HT-TEE-NVY-S</x:v>
      </x:c>
      <x:c r="H2" s="10" t="n">
        <x:v>28</x:v>
      </x:c>
      <x:c r="I2" s="10" t="n">
        <x:v>18</x:v>
      </x:c>
      <x:c r="J2" s="10" t="str">
        <x:v>https://harbor-thread.example/tee-navy.jpg</x:v>
      </x:c>
      <x:c r="K2" s="10" t="str">
        <x:v>TEE</x:v>
      </x:c>
      <x:c r="L2" s="10" t="str">
        <x:v>Tops</x:v>
      </x:c>
      <x:c r="M2" s="10" t="str">
        <x:v>Tops</x:v>
      </x:c>
      <x:c r="N2" s="10" t="str">
        <x:f>IF(L2=M2,"PASS","MISMATCH")</x:f>
        <x:v>PASS</x:v>
      </x:c>
      <x:c r="O2" s="10" t="str">
        <x:f>IF(AND(B2="UPDATE",COUNTIF($G$2:$G$25,G2)=1,H2&gt;0,I2&gt;=0,LEFT(J2,8)="https://",N2="PASS"),"READY","HOLD")</x:f>
        <x:v>READY</x:v>
      </x:c>
      <x:c r="P2" s="10" t="str">
        <x:v>Prepared row matches approved merchandising logic.</x:v>
      </x:c>
      <x:c r="Q2" t="str">
        <x:v>Tops</x:v>
      </x:c>
      <x:c r="R2" t="str">
        <x:f>IF(Q2=L2,"PASS","REVIEW")</x:f>
        <x:v>PASS</x:v>
      </x:c>
    </x:row>
    <x:row r="3">
      <x:c r="A3" s="10" t="n">
        <x:v>2</x:v>
      </x:c>
      <x:c r="B3" s="10" t="str">
        <x:v>UPDATE</x:v>
      </x:c>
      <x:c r="C3" s="10" t="str">
        <x:v>everyday-cotton-tee</x:v>
      </x:c>
      <x:c r="D3" s="10" t="str">
        <x:v>Everyday Cotton Tee</x:v>
      </x:c>
      <x:c r="E3" s="10" t="str">
        <x:v>Navy</x:v>
      </x:c>
      <x:c r="F3" s="10" t="str">
        <x:v>M</x:v>
      </x:c>
      <x:c r="G3" s="10" t="str">
        <x:v>HT-TEE-NVY-M</x:v>
      </x:c>
      <x:c r="H3" s="10" t="n">
        <x:v>28</x:v>
      </x:c>
      <x:c r="I3" s="10" t="n">
        <x:v>21</x:v>
      </x:c>
      <x:c r="J3" s="10" t="str">
        <x:v>https://harbor-thread.example/tee-navy.jpg</x:v>
      </x:c>
      <x:c r="K3" s="10" t="str">
        <x:v>TEE</x:v>
      </x:c>
      <x:c r="L3" s="10" t="str">
        <x:v>Tops</x:v>
      </x:c>
      <x:c r="M3" s="10" t="str">
        <x:v>Tops</x:v>
      </x:c>
      <x:c r="N3" s="10" t="str">
        <x:f>IF(L3=M3,"PASS","MISMATCH")</x:f>
        <x:v>PASS</x:v>
      </x:c>
      <x:c r="O3" s="10" t="str">
        <x:f>IF(AND(B3="UPDATE",COUNTIF($G$2:$G$25,G3)=1,H3&gt;0,I3&gt;=0,LEFT(J3,8)="https://",N3="PASS"),"READY","HOLD")</x:f>
        <x:v>READY</x:v>
      </x:c>
      <x:c r="P3" s="10" t="str">
        <x:v>Prepared row matches approved merchandising logic.</x:v>
      </x:c>
      <x:c r="Q3" t="str">
        <x:v>Tops</x:v>
      </x:c>
      <x:c r="R3" t="str">
        <x:f>IF(Q3=L3,"PASS","REVIEW")</x:f>
        <x:v>PASS</x:v>
      </x:c>
    </x:row>
    <x:row r="4">
      <x:c r="A4" s="10" t="n">
        <x:v>3</x:v>
      </x:c>
      <x:c r="B4" s="10" t="str">
        <x:v>UPDATE</x:v>
      </x:c>
      <x:c r="C4" s="10" t="str">
        <x:v>everyday-cotton-tee</x:v>
      </x:c>
      <x:c r="D4" s="10" t="str">
        <x:v>Everyday Cotton Tee</x:v>
      </x:c>
      <x:c r="E4" s="10" t="str">
        <x:v>Navy</x:v>
      </x:c>
      <x:c r="F4" s="10" t="str">
        <x:v>L</x:v>
      </x:c>
      <x:c r="G4" s="10" t="str">
        <x:v>HT-TEE-NVY-L</x:v>
      </x:c>
      <x:c r="H4" s="10" t="n">
        <x:v>28</x:v>
      </x:c>
      <x:c r="I4" s="10" t="n">
        <x:v>17</x:v>
      </x:c>
      <x:c r="J4" s="10" t="str">
        <x:v>https://harbor-thread.example/tee-navy.jpg</x:v>
      </x:c>
      <x:c r="K4" s="10" t="str">
        <x:v>TEE</x:v>
      </x:c>
      <x:c r="L4" s="10" t="str">
        <x:v>Tops</x:v>
      </x:c>
      <x:c r="M4" s="10" t="str">
        <x:v>Tops</x:v>
      </x:c>
      <x:c r="N4" s="10" t="str">
        <x:f>IF(L4=M4,"PASS","MISMATCH")</x:f>
        <x:v>PASS</x:v>
      </x:c>
      <x:c r="O4" s="10" t="str">
        <x:f>IF(AND(B4="UPDATE",COUNTIF($G$2:$G$25,G4)=1,H4&gt;0,I4&gt;=0,LEFT(J4,8)="https://",N4="PASS"),"READY","HOLD")</x:f>
        <x:v>READY</x:v>
      </x:c>
      <x:c r="P4" s="10" t="str">
        <x:v>Prepared row matches approved merchandising logic.</x:v>
      </x:c>
      <x:c r="Q4" t="str">
        <x:v>Tops</x:v>
      </x:c>
      <x:c r="R4" t="str">
        <x:f>IF(Q4=L4,"PASS","REVIEW")</x:f>
        <x:v>PASS</x:v>
      </x:c>
    </x:row>
    <x:row r="5">
      <x:c r="A5" s="10" t="n">
        <x:v>4</x:v>
      </x:c>
      <x:c r="B5" s="10" t="str">
        <x:v>UPDATE</x:v>
      </x:c>
      <x:c r="C5" s="10" t="str">
        <x:v>everyday-cotton-tee</x:v>
      </x:c>
      <x:c r="D5" s="10" t="str">
        <x:v>Everyday Cotton Tee</x:v>
      </x:c>
      <x:c r="E5" s="10" t="str">
        <x:v>Navy</x:v>
      </x:c>
      <x:c r="F5" s="10" t="str">
        <x:v>XL</x:v>
      </x:c>
      <x:c r="G5" s="10" t="str">
        <x:v>HT-TEE-NVY-XL</x:v>
      </x:c>
      <x:c r="H5" s="10" t="n">
        <x:v>28</x:v>
      </x:c>
      <x:c r="I5" s="10" t="n">
        <x:v>14</x:v>
      </x:c>
      <x:c r="J5" s="10" t="str">
        <x:v>https://harbor-thread.example/tee-navy.jpg</x:v>
      </x:c>
      <x:c r="K5" s="10" t="str">
        <x:v>TEE</x:v>
      </x:c>
      <x:c r="L5" s="10" t="str">
        <x:v>Tops</x:v>
      </x:c>
      <x:c r="M5" s="10" t="str">
        <x:v>Tops</x:v>
      </x:c>
      <x:c r="N5" s="10" t="str">
        <x:f>IF(L5=M5,"PASS","MISMATCH")</x:f>
        <x:v>PASS</x:v>
      </x:c>
      <x:c r="O5" s="10" t="str">
        <x:f>IF(AND(B5="UPDATE",COUNTIF($G$2:$G$25,G5)=1,H5&gt;0,I5&gt;=0,LEFT(J5,8)="https://",N5="PASS"),"READY","HOLD")</x:f>
        <x:v>READY</x:v>
      </x:c>
      <x:c r="P5" s="10" t="str">
        <x:v>Prepared row matches approved merchandising logic.</x:v>
      </x:c>
      <x:c r="Q5" t="str">
        <x:v>Tops</x:v>
      </x:c>
      <x:c r="R5" t="str">
        <x:f>IF(Q5=L5,"PASS","REVIEW")</x:f>
        <x:v>PASS</x:v>
      </x:c>
    </x:row>
    <x:row r="6">
      <x:c r="A6" s="10" t="n">
        <x:v>5</x:v>
      </x:c>
      <x:c r="B6" s="10" t="str">
        <x:v>UPDATE</x:v>
      </x:c>
      <x:c r="C6" s="10" t="str">
        <x:v>everyday-cotton-tee</x:v>
      </x:c>
      <x:c r="D6" s="10" t="str">
        <x:v>Everyday Cotton Tee</x:v>
      </x:c>
      <x:c r="E6" s="10" t="str">
        <x:v>Sand</x:v>
      </x:c>
      <x:c r="F6" s="10" t="str">
        <x:v>S</x:v>
      </x:c>
      <x:c r="G6" s="10" t="str">
        <x:v>HT-TEE-SND-S</x:v>
      </x:c>
      <x:c r="H6" s="10" t="n">
        <x:v>28</x:v>
      </x:c>
      <x:c r="I6" s="10" t="n">
        <x:v>20</x:v>
      </x:c>
      <x:c r="J6" s="10" t="str">
        <x:v>https://harbor-thread.example/tee-sand.jpg</x:v>
      </x:c>
      <x:c r="K6" s="10" t="str">
        <x:v>TEE</x:v>
      </x:c>
      <x:c r="L6" s="10" t="str">
        <x:v>Tops</x:v>
      </x:c>
      <x:c r="M6" s="10" t="str">
        <x:v>Tops</x:v>
      </x:c>
      <x:c r="N6" s="10" t="str">
        <x:f>IF(L6=M6,"PASS","MISMATCH")</x:f>
        <x:v>PASS</x:v>
      </x:c>
      <x:c r="O6" s="10" t="str">
        <x:f>IF(AND(B6="UPDATE",COUNTIF($G$2:$G$25,G6)=1,H6&gt;0,I6&gt;=0,LEFT(J6,8)="https://",N6="PASS"),"READY","HOLD")</x:f>
        <x:v>READY</x:v>
      </x:c>
      <x:c r="P6" s="10" t="str">
        <x:v>Prepared row matches approved merchandising logic.</x:v>
      </x:c>
      <x:c r="Q6" t="str">
        <x:v>Tops</x:v>
      </x:c>
      <x:c r="R6" t="str">
        <x:f>IF(Q6=L6,"PASS","REVIEW")</x:f>
        <x:v>PASS</x:v>
      </x:c>
    </x:row>
    <x:row r="7">
      <x:c r="A7" s="10" t="n">
        <x:v>6</x:v>
      </x:c>
      <x:c r="B7" s="10" t="str">
        <x:v>UPDATE</x:v>
      </x:c>
      <x:c r="C7" s="10" t="str">
        <x:v>everyday-cotton-tee</x:v>
      </x:c>
      <x:c r="D7" s="10" t="str">
        <x:v>Everyday Cotton Tee</x:v>
      </x:c>
      <x:c r="E7" s="10" t="str">
        <x:v>Sand</x:v>
      </x:c>
      <x:c r="F7" s="10" t="str">
        <x:v>M</x:v>
      </x:c>
      <x:c r="G7" s="10" t="str">
        <x:v>HT-TEE-SND-M</x:v>
      </x:c>
      <x:c r="H7" s="10" t="n">
        <x:v>28</x:v>
      </x:c>
      <x:c r="I7" s="10" t="n">
        <x:v>16</x:v>
      </x:c>
      <x:c r="J7" s="10" t="str">
        <x:v>https://harbor-thread.example/tee-sand.jpg</x:v>
      </x:c>
      <x:c r="K7" s="10" t="str">
        <x:v>TEE</x:v>
      </x:c>
      <x:c r="L7" s="10" t="str">
        <x:v>Tops</x:v>
      </x:c>
      <x:c r="M7" s="10" t="str">
        <x:v>Tops</x:v>
      </x:c>
      <x:c r="N7" s="10" t="str">
        <x:f>IF(L7=M7,"PASS","MISMATCH")</x:f>
        <x:v>PASS</x:v>
      </x:c>
      <x:c r="O7" s="10" t="str">
        <x:f>IF(AND(B7="UPDATE",COUNTIF($G$2:$G$25,G7)=1,H7&gt;0,I7&gt;=0,LEFT(J7,8)="https://",N7="PASS"),"READY","HOLD")</x:f>
        <x:v>READY</x:v>
      </x:c>
      <x:c r="P7" s="10" t="str">
        <x:v>Prepared row matches approved merchandising logic.</x:v>
      </x:c>
      <x:c r="Q7" t="str">
        <x:v>Tops</x:v>
      </x:c>
      <x:c r="R7" t="str">
        <x:f>IF(Q7=L7,"PASS","REVIEW")</x:f>
        <x:v>PASS</x:v>
      </x:c>
    </x:row>
    <x:row r="8">
      <x:c r="A8" s="10" t="n">
        <x:v>7</x:v>
      </x:c>
      <x:c r="B8" s="10" t="str">
        <x:v>UPDATE</x:v>
      </x:c>
      <x:c r="C8" s="10" t="str">
        <x:v>everyday-cotton-tee</x:v>
      </x:c>
      <x:c r="D8" s="10" t="str">
        <x:v>Everyday Cotton Tee</x:v>
      </x:c>
      <x:c r="E8" s="10" t="str">
        <x:v>Sand</x:v>
      </x:c>
      <x:c r="F8" s="10" t="str">
        <x:v>L</x:v>
      </x:c>
      <x:c r="G8" s="10" t="str">
        <x:v>HT-TEE-SND-L</x:v>
      </x:c>
      <x:c r="H8" s="10" t="n">
        <x:v>28</x:v>
      </x:c>
      <x:c r="I8" s="10" t="n">
        <x:v>12</x:v>
      </x:c>
      <x:c r="J8" s="10" t="str">
        <x:v>https://harbor-thread.example/tee-sand.jpg</x:v>
      </x:c>
      <x:c r="K8" s="10" t="str">
        <x:v>TEE</x:v>
      </x:c>
      <x:c r="L8" s="10" t="str">
        <x:v>Tops</x:v>
      </x:c>
      <x:c r="M8" s="10" t="str">
        <x:v>Tops</x:v>
      </x:c>
      <x:c r="N8" s="10" t="str">
        <x:f>IF(L8=M8,"PASS","MISMATCH")</x:f>
        <x:v>PASS</x:v>
      </x:c>
      <x:c r="O8" s="10" t="str">
        <x:f>IF(AND(B8="UPDATE",COUNTIF($G$2:$G$25,G8)=1,H8&gt;0,I8&gt;=0,LEFT(J8,8)="https://",N8="PASS"),"READY","HOLD")</x:f>
        <x:v>READY</x:v>
      </x:c>
      <x:c r="P8" s="10" t="str">
        <x:v>Prepared row matches approved merchandising logic.</x:v>
      </x:c>
      <x:c r="Q8" t="str">
        <x:v>Tops</x:v>
      </x:c>
      <x:c r="R8" t="str">
        <x:f>IF(Q8=L8,"PASS","REVIEW")</x:f>
        <x:v>PASS</x:v>
      </x:c>
    </x:row>
    <x:row r="9">
      <x:c r="A9" s="10" t="n">
        <x:v>8</x:v>
      </x:c>
      <x:c r="B9" s="10" t="str">
        <x:v>UPDATE</x:v>
      </x:c>
      <x:c r="C9" s="10" t="str">
        <x:v>everyday-cotton-tee</x:v>
      </x:c>
      <x:c r="D9" s="10" t="str">
        <x:v>Everyday Cotton Tee</x:v>
      </x:c>
      <x:c r="E9" s="10" t="str">
        <x:v>Sand</x:v>
      </x:c>
      <x:c r="F9" s="10" t="str">
        <x:v>XL</x:v>
      </x:c>
      <x:c r="G9" s="10" t="str">
        <x:v>HT-TEE-SND-XL</x:v>
      </x:c>
      <x:c r="H9" s="10" t="n">
        <x:v>28</x:v>
      </x:c>
      <x:c r="I9" s="10" t="n">
        <x:v>10</x:v>
      </x:c>
      <x:c r="J9" s="10" t="str">
        <x:v>https://harbor-thread.example/tee-sand.jpg</x:v>
      </x:c>
      <x:c r="K9" s="10" t="str">
        <x:v>TEE</x:v>
      </x:c>
      <x:c r="L9" s="10" t="str">
        <x:v>Tops</x:v>
      </x:c>
      <x:c r="M9" s="10" t="str">
        <x:v>Tops</x:v>
      </x:c>
      <x:c r="N9" s="10" t="str">
        <x:f>IF(L9=M9,"PASS","MISMATCH")</x:f>
        <x:v>PASS</x:v>
      </x:c>
      <x:c r="O9" s="10" t="str">
        <x:f>IF(AND(B9="UPDATE",COUNTIF($G$2:$G$25,G9)=1,H9&gt;0,I9&gt;=0,LEFT(J9,8)="https://",N9="PASS"),"READY","HOLD")</x:f>
        <x:v>READY</x:v>
      </x:c>
      <x:c r="P9" s="10" t="str">
        <x:v>Prepared row matches approved merchandising logic.</x:v>
      </x:c>
      <x:c r="Q9" t="str">
        <x:v>Tops</x:v>
      </x:c>
      <x:c r="R9" t="str">
        <x:f>IF(Q9=L9,"PASS","REVIEW")</x:f>
        <x:v>PASS</x:v>
      </x:c>
    </x:row>
    <x:row r="10">
      <x:c r="A10" s="10" t="n">
        <x:v>9</x:v>
      </x:c>
      <x:c r="B10" s="10" t="str">
        <x:v>UPDATE</x:v>
      </x:c>
      <x:c r="C10" s="10" t="str">
        <x:v>everyday-cotton-tee</x:v>
      </x:c>
      <x:c r="D10" s="10" t="str">
        <x:v>Everyday Cotton Tee</x:v>
      </x:c>
      <x:c r="E10" s="10" t="str">
        <x:v>White</x:v>
      </x:c>
      <x:c r="F10" s="10" t="str">
        <x:v>S</x:v>
      </x:c>
      <x:c r="G10" s="10" t="str">
        <x:v>HT-TEE-WHT-S</x:v>
      </x:c>
      <x:c r="H10" s="10" t="n">
        <x:v>28</x:v>
      </x:c>
      <x:c r="I10" s="10" t="n">
        <x:v>22</x:v>
      </x:c>
      <x:c r="J10" s="10" t="str">
        <x:v>https://harbor-thread.example/tee-white.jpg</x:v>
      </x:c>
      <x:c r="K10" s="10" t="str">
        <x:v>TEE</x:v>
      </x:c>
      <x:c r="L10" s="10" t="str">
        <x:v>Tops</x:v>
      </x:c>
      <x:c r="M10" s="10" t="str">
        <x:v>Tops</x:v>
      </x:c>
      <x:c r="N10" s="10" t="str">
        <x:f>IF(L10=M10,"PASS","MISMATCH")</x:f>
        <x:v>PASS</x:v>
      </x:c>
      <x:c r="O10" s="10" t="str">
        <x:f>IF(AND(B10="UPDATE",COUNTIF($G$2:$G$25,G10)=1,H10&gt;0,I10&gt;=0,LEFT(J10,8)="https://",N10="PASS"),"READY","HOLD")</x:f>
        <x:v>READY</x:v>
      </x:c>
      <x:c r="P10" s="10" t="str">
        <x:v>Prepared row matches approved merchandising logic.</x:v>
      </x:c>
      <x:c r="Q10" t="str">
        <x:v>Tops</x:v>
      </x:c>
      <x:c r="R10" t="str">
        <x:f>IF(Q10=L10,"PASS","REVIEW")</x:f>
        <x:v>PASS</x:v>
      </x:c>
    </x:row>
    <x:row r="11">
      <x:c r="A11" s="10" t="n">
        <x:v>10</x:v>
      </x:c>
      <x:c r="B11" s="10" t="str">
        <x:v>UPDATE</x:v>
      </x:c>
      <x:c r="C11" s="10" t="str">
        <x:v>everyday-cotton-tee</x:v>
      </x:c>
      <x:c r="D11" s="10" t="str">
        <x:v>Everyday Cotton Tee</x:v>
      </x:c>
      <x:c r="E11" s="10" t="str">
        <x:v>White</x:v>
      </x:c>
      <x:c r="F11" s="10" t="str">
        <x:v>M</x:v>
      </x:c>
      <x:c r="G11" s="10" t="str">
        <x:v>HT-TEE-WHT-M</x:v>
      </x:c>
      <x:c r="H11" s="10" t="n">
        <x:v>28</x:v>
      </x:c>
      <x:c r="I11" s="10" t="n">
        <x:v>19</x:v>
      </x:c>
      <x:c r="J11" s="10" t="str">
        <x:v>https://harbor-thread.example/tee-white.jpg</x:v>
      </x:c>
      <x:c r="K11" s="10" t="str">
        <x:v>TEE</x:v>
      </x:c>
      <x:c r="L11" s="10" t="str">
        <x:v>Tops</x:v>
      </x:c>
      <x:c r="M11" s="10" t="str">
        <x:v>Tops</x:v>
      </x:c>
      <x:c r="N11" s="10" t="str">
        <x:f>IF(L11=M11,"PASS","MISMATCH")</x:f>
        <x:v>PASS</x:v>
      </x:c>
      <x:c r="O11" s="10" t="str">
        <x:f>IF(AND(B11="UPDATE",COUNTIF($G$2:$G$25,G11)=1,H11&gt;0,I11&gt;=0,LEFT(J11,8)="https://",N11="PASS"),"READY","HOLD")</x:f>
        <x:v>READY</x:v>
      </x:c>
      <x:c r="P11" s="10" t="str">
        <x:v>Prepared row matches approved merchandising logic.</x:v>
      </x:c>
      <x:c r="Q11" t="str">
        <x:v>Tops</x:v>
      </x:c>
      <x:c r="R11" t="str">
        <x:f>IF(Q11=L11,"PASS","REVIEW")</x:f>
        <x:v>PASS</x:v>
      </x:c>
    </x:row>
    <x:row r="12">
      <x:c r="A12" s="10" t="n">
        <x:v>11</x:v>
      </x:c>
      <x:c r="B12" s="10" t="str">
        <x:v>UPDATE</x:v>
      </x:c>
      <x:c r="C12" s="10" t="str">
        <x:v>everyday-cotton-tee</x:v>
      </x:c>
      <x:c r="D12" s="10" t="str">
        <x:v>Everyday Cotton Tee</x:v>
      </x:c>
      <x:c r="E12" s="10" t="str">
        <x:v>White</x:v>
      </x:c>
      <x:c r="F12" s="10" t="str">
        <x:v>L</x:v>
      </x:c>
      <x:c r="G12" s="10" t="str">
        <x:v>HT-TEE-WHT-L</x:v>
      </x:c>
      <x:c r="H12" s="10" t="n">
        <x:v>28</x:v>
      </x:c>
      <x:c r="I12" s="10" t="n">
        <x:v>15</x:v>
      </x:c>
      <x:c r="J12" s="10" t="str">
        <x:v>https://harbor-thread.example/tee-white.jpg</x:v>
      </x:c>
      <x:c r="K12" s="10" t="str">
        <x:v>TEE</x:v>
      </x:c>
      <x:c r="L12" s="10" t="str">
        <x:v>Tops</x:v>
      </x:c>
      <x:c r="M12" s="10" t="str">
        <x:v>Tops</x:v>
      </x:c>
      <x:c r="N12" s="10" t="str">
        <x:f>IF(L12=M12,"PASS","MISMATCH")</x:f>
        <x:v>PASS</x:v>
      </x:c>
      <x:c r="O12" s="10" t="str">
        <x:f>IF(AND(B12="UPDATE",COUNTIF($G$2:$G$25,G12)=1,H12&gt;0,I12&gt;=0,LEFT(J12,8)="https://",N12="PASS"),"READY","HOLD")</x:f>
        <x:v>READY</x:v>
      </x:c>
      <x:c r="P12" s="10" t="str">
        <x:v>Prepared row matches approved merchandising logic.</x:v>
      </x:c>
      <x:c r="Q12" t="str">
        <x:v>Tops</x:v>
      </x:c>
      <x:c r="R12" t="str">
        <x:f>IF(Q12=L12,"PASS","REVIEW")</x:f>
        <x:v>PASS</x:v>
      </x:c>
    </x:row>
    <x:row r="13">
      <x:c r="A13" s="10" t="n">
        <x:v>12</x:v>
      </x:c>
      <x:c r="B13" s="10" t="str">
        <x:v>UPDATE</x:v>
      </x:c>
      <x:c r="C13" s="10" t="str">
        <x:v>everyday-cotton-tee</x:v>
      </x:c>
      <x:c r="D13" s="10" t="str">
        <x:v>Everyday Cotton Tee</x:v>
      </x:c>
      <x:c r="E13" s="10" t="str">
        <x:v>White</x:v>
      </x:c>
      <x:c r="F13" s="10" t="str">
        <x:v>XL</x:v>
      </x:c>
      <x:c r="G13" s="10" t="str">
        <x:v>HT-TEE-WHT-XL</x:v>
      </x:c>
      <x:c r="H13" s="10" t="n">
        <x:v>28</x:v>
      </x:c>
      <x:c r="I13" s="10" t="n">
        <x:v>11</x:v>
      </x:c>
      <x:c r="J13" s="10" t="str">
        <x:v>https://harbor-thread.example/tee-white.jpg</x:v>
      </x:c>
      <x:c r="K13" s="10" t="str">
        <x:v>TEE</x:v>
      </x:c>
      <x:c r="L13" s="10" t="str">
        <x:v>Tops</x:v>
      </x:c>
      <x:c r="M13" s="10" t="str">
        <x:v>Tops</x:v>
      </x:c>
      <x:c r="N13" s="10" t="str">
        <x:f>IF(L13=M13,"PASS","MISMATCH")</x:f>
        <x:v>PASS</x:v>
      </x:c>
      <x:c r="O13" s="10" t="str">
        <x:f>IF(AND(B13="UPDATE",COUNTIF($G$2:$G$25,G13)=1,H13&gt;0,I13&gt;=0,LEFT(J13,8)="https://",N13="PASS"),"READY","HOLD")</x:f>
        <x:v>READY</x:v>
      </x:c>
      <x:c r="P13" s="10" t="str">
        <x:v>Prepared row matches approved merchandising logic.</x:v>
      </x:c>
      <x:c r="Q13" t="str">
        <x:v>Tops</x:v>
      </x:c>
      <x:c r="R13" t="str">
        <x:f>IF(Q13=L13,"PASS","REVIEW")</x:f>
        <x:v>PASS</x:v>
      </x:c>
    </x:row>
    <x:row r="14">
      <x:c r="A14" s="10" t="n">
        <x:v>13</x:v>
      </x:c>
      <x:c r="B14" s="10" t="str">
        <x:v>UPDATE</x:v>
      </x:c>
      <x:c r="C14" s="10" t="str">
        <x:v>ribbed-crew-sweater</x:v>
      </x:c>
      <x:c r="D14" s="10" t="str">
        <x:v>Ribbed Crew Sweater</x:v>
      </x:c>
      <x:c r="E14" s="10" t="str">
        <x:v>Charcoal</x:v>
      </x:c>
      <x:c r="F14" s="10" t="str">
        <x:v>S</x:v>
      </x:c>
      <x:c r="G14" s="10" t="str">
        <x:v>HT-SWT-CHR-S</x:v>
      </x:c>
      <x:c r="H14" s="10" t="n">
        <x:v>54</x:v>
      </x:c>
      <x:c r="I14" s="10" t="n">
        <x:v>9</x:v>
      </x:c>
      <x:c r="J14" s="10" t="str">
        <x:v>https://harbor-thread.example/sweater-charcoal.jpg</x:v>
      </x:c>
      <x:c r="K14" s="10" t="str">
        <x:v>SWT</x:v>
      </x:c>
      <x:c r="L14" s="10" t="str">
        <x:v>Knitwear</x:v>
      </x:c>
      <x:c r="M14" s="10" t="str">
        <x:v>Knitwear</x:v>
      </x:c>
      <x:c r="N14" s="10" t="str">
        <x:f>IF(L14=M14,"PASS","MISMATCH")</x:f>
        <x:v>PASS</x:v>
      </x:c>
      <x:c r="O14" s="10" t="str">
        <x:f>IF(AND(B14="UPDATE",COUNTIF($G$2:$G$25,G14)=1,H14&gt;0,I14&gt;=0,LEFT(J14,8)="https://",N14="PASS"),"READY","HOLD")</x:f>
        <x:v>READY</x:v>
      </x:c>
      <x:c r="P14" s="10" t="str">
        <x:v>Prepared row matches approved merchandising logic.</x:v>
      </x:c>
      <x:c r="Q14" t="str">
        <x:v>Knitwear</x:v>
      </x:c>
      <x:c r="R14" t="str">
        <x:f>IF(Q14=L14,"PASS","REVIEW")</x:f>
        <x:v>PASS</x:v>
      </x:c>
    </x:row>
    <x:row r="15">
      <x:c r="A15" s="10" t="n">
        <x:v>14</x:v>
      </x:c>
      <x:c r="B15" s="10" t="str">
        <x:v>UPDATE</x:v>
      </x:c>
      <x:c r="C15" s="10" t="str">
        <x:v>ribbed-crew-sweater</x:v>
      </x:c>
      <x:c r="D15" s="10" t="str">
        <x:v>Ribbed Crew Sweater</x:v>
      </x:c>
      <x:c r="E15" s="10" t="str">
        <x:v>Charcoal</x:v>
      </x:c>
      <x:c r="F15" s="10" t="str">
        <x:v>M</x:v>
      </x:c>
      <x:c r="G15" s="10" t="str">
        <x:v>HT-SWT-CHR-M</x:v>
      </x:c>
      <x:c r="H15" s="10" t="n">
        <x:v>54</x:v>
      </x:c>
      <x:c r="I15" s="10" t="n">
        <x:v>13</x:v>
      </x:c>
      <x:c r="J15" s="10" t="str">
        <x:v>https://harbor-thread.example/sweater-charcoal.jpg</x:v>
      </x:c>
      <x:c r="K15" s="10" t="str">
        <x:v>SWT</x:v>
      </x:c>
      <x:c r="L15" s="10" t="str">
        <x:v>Knitwear</x:v>
      </x:c>
      <x:c r="M15" s="10" t="str">
        <x:v>Knitwear</x:v>
      </x:c>
      <x:c r="N15" s="10" t="str">
        <x:f>IF(L15=M15,"PASS","MISMATCH")</x:f>
        <x:v>PASS</x:v>
      </x:c>
      <x:c r="O15" s="10" t="str">
        <x:f>IF(AND(B15="UPDATE",COUNTIF($G$2:$G$25,G15)=1,H15&gt;0,I15&gt;=0,LEFT(J15,8)="https://",N15="PASS"),"READY","HOLD")</x:f>
        <x:v>READY</x:v>
      </x:c>
      <x:c r="P15" s="10" t="str">
        <x:v>Prepared row matches approved merchandising logic.</x:v>
      </x:c>
      <x:c r="Q15" t="str">
        <x:v>Knitwear</x:v>
      </x:c>
      <x:c r="R15" t="str">
        <x:f>IF(Q15=L15,"PASS","REVIEW")</x:f>
        <x:v>PASS</x:v>
      </x:c>
    </x:row>
    <x:row r="16">
      <x:c r="A16" s="10" t="n">
        <x:v>15</x:v>
      </x:c>
      <x:c r="B16" s="10" t="str">
        <x:v>UPDATE</x:v>
      </x:c>
      <x:c r="C16" s="10" t="str">
        <x:v>ribbed-crew-sweater</x:v>
      </x:c>
      <x:c r="D16" s="10" t="str">
        <x:v>Ribbed Crew Sweater</x:v>
      </x:c>
      <x:c r="E16" s="10" t="str">
        <x:v>Charcoal</x:v>
      </x:c>
      <x:c r="F16" s="10" t="str">
        <x:v>L</x:v>
      </x:c>
      <x:c r="G16" s="10" t="str">
        <x:v>HT-SWT-CHR-L</x:v>
      </x:c>
      <x:c r="H16" s="10" t="n">
        <x:v>54</x:v>
      </x:c>
      <x:c r="I16" s="10" t="n">
        <x:v>11</x:v>
      </x:c>
      <x:c r="J16" s="10" t="str">
        <x:v>https://harbor-thread.example/sweater-charcoal.jpg</x:v>
      </x:c>
      <x:c r="K16" s="10" t="str">
        <x:v>SWT</x:v>
      </x:c>
      <x:c r="L16" s="10" t="str">
        <x:v>Knitwear</x:v>
      </x:c>
      <x:c r="M16" s="10" t="str">
        <x:v>Knitwear</x:v>
      </x:c>
      <x:c r="N16" s="10" t="str">
        <x:f>IF(L16=M16,"PASS","MISMATCH")</x:f>
        <x:v>PASS</x:v>
      </x:c>
      <x:c r="O16" s="10" t="str">
        <x:f>IF(AND(B16="UPDATE",COUNTIF($G$2:$G$25,G16)=1,H16&gt;0,I16&gt;=0,LEFT(J16,8)="https://",N16="PASS"),"READY","HOLD")</x:f>
        <x:v>READY</x:v>
      </x:c>
      <x:c r="P16" s="10" t="str">
        <x:v>Prepared row matches approved merchandising logic.</x:v>
      </x:c>
      <x:c r="Q16" t="str">
        <x:v>Knitwear</x:v>
      </x:c>
      <x:c r="R16" t="str">
        <x:f>IF(Q16=L16,"PASS","REVIEW")</x:f>
        <x:v>PASS</x:v>
      </x:c>
    </x:row>
    <x:row r="17">
      <x:c r="A17" s="10" t="n">
        <x:v>16</x:v>
      </x:c>
      <x:c r="B17" s="10" t="str">
        <x:v>UPDATE</x:v>
      </x:c>
      <x:c r="C17" s="10" t="str">
        <x:v>ribbed-crew-sweater</x:v>
      </x:c>
      <x:c r="D17" s="10" t="str">
        <x:v>Ribbed Crew Sweater</x:v>
      </x:c>
      <x:c r="E17" s="10" t="str">
        <x:v>Oat</x:v>
      </x:c>
      <x:c r="F17" s="10" t="str">
        <x:v>S</x:v>
      </x:c>
      <x:c r="G17" s="10" t="str">
        <x:v>HT-SWT-OAT-S</x:v>
      </x:c>
      <x:c r="H17" s="10" t="n">
        <x:v>54</x:v>
      </x:c>
      <x:c r="I17" s="10" t="n">
        <x:v>10</x:v>
      </x:c>
      <x:c r="J17" s="10" t="str">
        <x:v>https://harbor-thread.example/sweater-oat.jpg</x:v>
      </x:c>
      <x:c r="K17" s="10" t="str">
        <x:v>SWT</x:v>
      </x:c>
      <x:c r="L17" s="10" t="str">
        <x:v>Knitwear</x:v>
      </x:c>
      <x:c r="M17" s="10" t="str">
        <x:v>Knitwear</x:v>
      </x:c>
      <x:c r="N17" s="10" t="str">
        <x:f>IF(L17=M17,"PASS","MISMATCH")</x:f>
        <x:v>PASS</x:v>
      </x:c>
      <x:c r="O17" s="10" t="str">
        <x:f>IF(AND(B17="UPDATE",COUNTIF($G$2:$G$25,G17)=1,H17&gt;0,I17&gt;=0,LEFT(J17,8)="https://",N17="PASS"),"READY","HOLD")</x:f>
        <x:v>READY</x:v>
      </x:c>
      <x:c r="P17" s="10" t="str">
        <x:v>Prepared row matches approved merchandising logic.</x:v>
      </x:c>
      <x:c r="Q17" t="str">
        <x:v>Knitwear</x:v>
      </x:c>
      <x:c r="R17" t="str">
        <x:f>IF(Q17=L17,"PASS","REVIEW")</x:f>
        <x:v>PASS</x:v>
      </x:c>
    </x:row>
    <x:row r="18">
      <x:c r="A18" s="10" t="n">
        <x:v>17</x:v>
      </x:c>
      <x:c r="B18" s="10" t="str">
        <x:v>UPDATE</x:v>
      </x:c>
      <x:c r="C18" s="10" t="str">
        <x:v>ribbed-crew-sweater</x:v>
      </x:c>
      <x:c r="D18" s="10" t="str">
        <x:v>Ribbed Crew Sweater</x:v>
      </x:c>
      <x:c r="E18" s="10" t="str">
        <x:v>Oat</x:v>
      </x:c>
      <x:c r="F18" s="10" t="str">
        <x:v>M</x:v>
      </x:c>
      <x:c r="G18" s="10" t="str">
        <x:v>HT-SWT-OAT-M</x:v>
      </x:c>
      <x:c r="H18" s="10" t="n">
        <x:v>54</x:v>
      </x:c>
      <x:c r="I18" s="10" t="n">
        <x:v>12</x:v>
      </x:c>
      <x:c r="J18" s="10" t="str">
        <x:v>https://harbor-thread.example/sweater-oat.jpg</x:v>
      </x:c>
      <x:c r="K18" s="10" t="str">
        <x:v>SWT</x:v>
      </x:c>
      <x:c r="L18" s="10" t="str">
        <x:v>Knitwear</x:v>
      </x:c>
      <x:c r="M18" s="10" t="str">
        <x:v>Knitwear</x:v>
      </x:c>
      <x:c r="N18" s="10" t="str">
        <x:f>IF(L18=M18,"PASS","MISMATCH")</x:f>
        <x:v>PASS</x:v>
      </x:c>
      <x:c r="O18" s="10" t="str">
        <x:f>IF(AND(B18="UPDATE",COUNTIF($G$2:$G$25,G18)=1,H18&gt;0,I18&gt;=0,LEFT(J18,8)="https://",N18="PASS"),"READY","HOLD")</x:f>
        <x:v>READY</x:v>
      </x:c>
      <x:c r="P18" s="10" t="str">
        <x:v>Prepared row matches approved merchandising logic.</x:v>
      </x:c>
      <x:c r="Q18" t="str">
        <x:v>Knitwear</x:v>
      </x:c>
      <x:c r="R18" t="str">
        <x:f>IF(Q18=L18,"PASS","REVIEW")</x:f>
        <x:v>PASS</x:v>
      </x:c>
    </x:row>
    <x:row r="19">
      <x:c r="A19" s="10" t="n">
        <x:v>18</x:v>
      </x:c>
      <x:c r="B19" s="10" t="str">
        <x:v>UPDATE</x:v>
      </x:c>
      <x:c r="C19" s="10" t="str">
        <x:v>ribbed-crew-sweater</x:v>
      </x:c>
      <x:c r="D19" s="10" t="str">
        <x:v>Ribbed Crew Sweater</x:v>
      </x:c>
      <x:c r="E19" s="10" t="str">
        <x:v>Oat</x:v>
      </x:c>
      <x:c r="F19" s="10" t="str">
        <x:v>L</x:v>
      </x:c>
      <x:c r="G19" s="10" t="str">
        <x:v>HT-SWT-OAT-L</x:v>
      </x:c>
      <x:c r="H19" s="10" t="n">
        <x:v>54</x:v>
      </x:c>
      <x:c r="I19" s="10" t="n">
        <x:v>8</x:v>
      </x:c>
      <x:c r="J19" s="10" t="str">
        <x:v>https://harbor-thread.example/sweater-oat.jpg</x:v>
      </x:c>
      <x:c r="K19" s="10" t="str">
        <x:v>SWT</x:v>
      </x:c>
      <x:c r="L19" s="10" t="str">
        <x:v>Knitwear</x:v>
      </x:c>
      <x:c r="M19" s="10" t="str">
        <x:v>Knitwear</x:v>
      </x:c>
      <x:c r="N19" s="10" t="str">
        <x:f>IF(L19=M19,"PASS","MISMATCH")</x:f>
        <x:v>PASS</x:v>
      </x:c>
      <x:c r="O19" s="10" t="str">
        <x:f>IF(AND(B19="UPDATE",COUNTIF($G$2:$G$25,G19)=1,H19&gt;0,I19&gt;=0,LEFT(J19,8)="https://",N19="PASS"),"READY","HOLD")</x:f>
        <x:v>READY</x:v>
      </x:c>
      <x:c r="P19" s="10" t="str">
        <x:v>Prepared row matches approved merchandising logic.</x:v>
      </x:c>
      <x:c r="Q19" t="str">
        <x:v>Knitwear</x:v>
      </x:c>
      <x:c r="R19" t="str">
        <x:f>IF(Q19=L19,"PASS","REVIEW")</x:f>
        <x:v>PASS</x:v>
      </x:c>
    </x:row>
    <x:row r="20">
      <x:c r="A20" s="10" t="n">
        <x:v>19</x:v>
      </x:c>
      <x:c r="B20" s="10" t="str">
        <x:v>UPDATE</x:v>
      </x:c>
      <x:c r="C20" s="10" t="str">
        <x:v>canvas-overshirt</x:v>
      </x:c>
      <x:c r="D20" s="10" t="str">
        <x:v>Canvas Overshirt</x:v>
      </x:c>
      <x:c r="E20" s="10" t="str">
        <x:v>Olive</x:v>
      </x:c>
      <x:c r="F20" s="10" t="str">
        <x:v>M</x:v>
      </x:c>
      <x:c r="G20" s="10" t="str">
        <x:v>HT-OVR-OLV-M</x:v>
      </x:c>
      <x:c r="H20" s="10" t="n">
        <x:v>68</x:v>
      </x:c>
      <x:c r="I20" s="10" t="n">
        <x:v>7</x:v>
      </x:c>
      <x:c r="J20" s="10" t="str">
        <x:v>https://harbor-thread.example/overshirt-olive.jpg</x:v>
      </x:c>
      <x:c r="K20" s="10" t="str">
        <x:v>OVR</x:v>
      </x:c>
      <x:c r="L20" s="10" t="str">
        <x:v>Outerwear</x:v>
      </x:c>
      <x:c r="M20" s="10" t="str">
        <x:v>Outerwear</x:v>
      </x:c>
      <x:c r="N20" s="10" t="str">
        <x:f>IF(L20=M20,"PASS","MISMATCH")</x:f>
        <x:v>PASS</x:v>
      </x:c>
      <x:c r="O20" s="10" t="str">
        <x:f>IF(AND(B20="UPDATE",COUNTIF($G$2:$G$25,G20)=1,H20&gt;0,I20&gt;=0,LEFT(J20,8)="https://",N20="PASS"),"READY","HOLD")</x:f>
        <x:v>READY</x:v>
      </x:c>
      <x:c r="P20" s="10" t="str">
        <x:v>Prepared row matches approved merchandising logic.</x:v>
      </x:c>
      <x:c r="Q20" t="str">
        <x:v>Outerwear</x:v>
      </x:c>
      <x:c r="R20" t="str">
        <x:f>IF(Q20=L20,"PASS","REVIEW")</x:f>
        <x:v>PASS</x:v>
      </x:c>
    </x:row>
    <x:row r="21">
      <x:c r="A21" s="10" t="n">
        <x:v>20</x:v>
      </x:c>
      <x:c r="B21" s="10" t="str">
        <x:v>UPDATE</x:v>
      </x:c>
      <x:c r="C21" s="10" t="str">
        <x:v>canvas-overshirt</x:v>
      </x:c>
      <x:c r="D21" s="10" t="str">
        <x:v>Canvas Overshirt</x:v>
      </x:c>
      <x:c r="E21" s="10" t="str">
        <x:v>Olive</x:v>
      </x:c>
      <x:c r="F21" s="10" t="str">
        <x:v>L</x:v>
      </x:c>
      <x:c r="G21" s="10" t="str">
        <x:v>HT-OVR-OLV-L</x:v>
      </x:c>
      <x:c r="H21" s="10" t="n">
        <x:v>68</x:v>
      </x:c>
      <x:c r="I21" s="10" t="n">
        <x:v>9</x:v>
      </x:c>
      <x:c r="J21" s="10" t="str">
        <x:v>https://harbor-thread.example/overshirt-olive.jpg</x:v>
      </x:c>
      <x:c r="K21" s="10" t="str">
        <x:v>OVR</x:v>
      </x:c>
      <x:c r="L21" s="10" t="str">
        <x:v>Outerwear</x:v>
      </x:c>
      <x:c r="M21" s="10" t="str">
        <x:v>Outerwear</x:v>
      </x:c>
      <x:c r="N21" s="10" t="str">
        <x:f>IF(L21=M21,"PASS","MISMATCH")</x:f>
        <x:v>PASS</x:v>
      </x:c>
      <x:c r="O21" s="10" t="str">
        <x:f>IF(AND(B21="UPDATE",COUNTIF($G$2:$G$25,G21)=1,H21&gt;0,I21&gt;=0,LEFT(J21,8)="https://",N21="PASS"),"READY","HOLD")</x:f>
        <x:v>READY</x:v>
      </x:c>
      <x:c r="P21" s="10" t="str">
        <x:v>Prepared row matches approved merchandising logic.</x:v>
      </x:c>
      <x:c r="Q21" t="str">
        <x:v>Outerwear</x:v>
      </x:c>
      <x:c r="R21" t="str">
        <x:f>IF(Q21=L21,"PASS","REVIEW")</x:f>
        <x:v>PASS</x:v>
      </x:c>
    </x:row>
    <x:row r="22">
      <x:c r="A22" s="10" t="n">
        <x:v>21</x:v>
      </x:c>
      <x:c r="B22" s="10" t="str">
        <x:v>UPDATE</x:v>
      </x:c>
      <x:c r="C22" s="10" t="str">
        <x:v>canvas-overshirt</x:v>
      </x:c>
      <x:c r="D22" s="10" t="str">
        <x:v>Canvas Overshirt</x:v>
      </x:c>
      <x:c r="E22" s="10" t="str">
        <x:v>Olive</x:v>
      </x:c>
      <x:c r="F22" s="10" t="str">
        <x:v>XL</x:v>
      </x:c>
      <x:c r="G22" s="10" t="str">
        <x:v>HT-OVR-OLV-XL</x:v>
      </x:c>
      <x:c r="H22" s="10" t="n">
        <x:v>68</x:v>
      </x:c>
      <x:c r="I22" s="10" t="n">
        <x:v>6</x:v>
      </x:c>
      <x:c r="J22" s="10" t="str">
        <x:v>https://harbor-thread.example/overshirt-olive.jpg</x:v>
      </x:c>
      <x:c r="K22" s="10" t="str">
        <x:v>OVR</x:v>
      </x:c>
      <x:c r="L22" s="10" t="str">
        <x:v>Outerwear</x:v>
      </x:c>
      <x:c r="M22" s="10" t="str">
        <x:v>Outerwear</x:v>
      </x:c>
      <x:c r="N22" s="10" t="str">
        <x:f>IF(L22=M22,"PASS","MISMATCH")</x:f>
        <x:v>PASS</x:v>
      </x:c>
      <x:c r="O22" s="10" t="str">
        <x:f>IF(AND(B22="UPDATE",COUNTIF($G$2:$G$25,G22)=1,H22&gt;0,I22&gt;=0,LEFT(J22,8)="https://",N22="PASS"),"READY","HOLD")</x:f>
        <x:v>READY</x:v>
      </x:c>
      <x:c r="P22" s="10" t="str">
        <x:v>Prepared row matches approved merchandising logic.</x:v>
      </x:c>
      <x:c r="Q22" t="str">
        <x:v>Outerwear</x:v>
      </x:c>
      <x:c r="R22" t="str">
        <x:f>IF(Q22=L22,"PASS","REVIEW")</x:f>
        <x:v>PASS</x:v>
      </x:c>
    </x:row>
    <x:row r="23">
      <x:c r="A23" s="10" t="n">
        <x:v>22</x:v>
      </x:c>
      <x:c r="B23" s="10" t="str">
        <x:v>UPDATE</x:v>
      </x:c>
      <x:c r="C23" s="10" t="str">
        <x:v>canvas-overshirt</x:v>
      </x:c>
      <x:c r="D23" s="10" t="str">
        <x:v>Canvas Overshirt</x:v>
      </x:c>
      <x:c r="E23" s="10" t="str">
        <x:v>Navy</x:v>
      </x:c>
      <x:c r="F23" s="10" t="str">
        <x:v>M</x:v>
      </x:c>
      <x:c r="G23" s="10" t="str">
        <x:v>HT-OVR-NVY-M</x:v>
      </x:c>
      <x:c r="H23" s="10" t="n">
        <x:v>68</x:v>
      </x:c>
      <x:c r="I23" s="10" t="n">
        <x:v>8</x:v>
      </x:c>
      <x:c r="J23" s="10" t="str">
        <x:v>https://harbor-thread.example/overshirt-navy.jpg</x:v>
      </x:c>
      <x:c r="K23" s="10" t="str">
        <x:v>OVR</x:v>
      </x:c>
      <x:c r="L23" s="10" t="str">
        <x:v>Outerwear</x:v>
      </x:c>
      <x:c r="M23" s="10" t="str">
        <x:v>Outerwear</x:v>
      </x:c>
      <x:c r="N23" s="10" t="str">
        <x:f>IF(L23=M23,"PASS","MISMATCH")</x:f>
        <x:v>PASS</x:v>
      </x:c>
      <x:c r="O23" s="10" t="str">
        <x:f>IF(AND(B23="UPDATE",COUNTIF($G$2:$G$25,G23)=1,H23&gt;0,I23&gt;=0,LEFT(J23,8)="https://",N23="PASS"),"READY","HOLD")</x:f>
        <x:v>READY</x:v>
      </x:c>
      <x:c r="P23" s="10" t="str">
        <x:v>Prepared row matches approved merchandising logic.</x:v>
      </x:c>
      <x:c r="Q23" t="str">
        <x:v>Outerwear</x:v>
      </x:c>
      <x:c r="R23" t="str">
        <x:f>IF(Q23=L23,"PASS","REVIEW")</x:f>
        <x:v>PASS</x:v>
      </x:c>
    </x:row>
    <x:row r="24">
      <x:c r="A24" s="10" t="n">
        <x:v>23</x:v>
      </x:c>
      <x:c r="B24" s="10" t="str">
        <x:v>UPDATE</x:v>
      </x:c>
      <x:c r="C24" s="10" t="str">
        <x:v>canvas-overshirt</x:v>
      </x:c>
      <x:c r="D24" s="10" t="str">
        <x:v>Canvas Overshirt</x:v>
      </x:c>
      <x:c r="E24" s="10" t="str">
        <x:v>Navy</x:v>
      </x:c>
      <x:c r="F24" s="10" t="str">
        <x:v>L</x:v>
      </x:c>
      <x:c r="G24" s="10" t="str">
        <x:v>HT-OVR-NVY-L</x:v>
      </x:c>
      <x:c r="H24" s="10" t="n">
        <x:v>68</x:v>
      </x:c>
      <x:c r="I24" s="10" t="n">
        <x:v>10</x:v>
      </x:c>
      <x:c r="J24" s="10" t="str">
        <x:v>https://harbor-thread.example/overshirt-navy.jpg</x:v>
      </x:c>
      <x:c r="K24" s="10" t="str">
        <x:v>OVR</x:v>
      </x:c>
      <x:c r="L24" s="10" t="str">
        <x:v>Outerwear</x:v>
      </x:c>
      <x:c r="M24" s="10" t="str">
        <x:v>Tops</x:v>
      </x:c>
      <x:c r="N24" s="10" t="str">
        <x:f>IF(L24=M24,"PASS","MISMATCH")</x:f>
        <x:v>MISMATCH</x:v>
      </x:c>
      <x:c r="O24" s="10" t="str">
        <x:f>IF(AND(B24="UPDATE",COUNTIF($G$2:$G$25,G24)=1,H24&gt;0,I24&gt;=0,LEFT(J24,8)="https://",N24="PASS"),"READY","HOLD")</x:f>
        <x:v>HOLD</x:v>
      </x:c>
      <x:c r="P24" s="10" t="str">
        <x:v>Collection value requires correction before the row can proceed.</x:v>
      </x:c>
      <x:c r="Q24" t="str">
        <x:v>Outerwear</x:v>
      </x:c>
      <x:c r="R24" t="str">
        <x:f>IF(Q24=L24,"PASS","REVIEW")</x:f>
        <x:v>PASS</x:v>
      </x:c>
    </x:row>
    <x:row r="25">
      <x:c r="A25" s="10" t="n">
        <x:v>24</x:v>
      </x:c>
      <x:c r="B25" s="10" t="str">
        <x:v>UPDATE</x:v>
      </x:c>
      <x:c r="C25" s="10" t="str">
        <x:v>canvas-overshirt</x:v>
      </x:c>
      <x:c r="D25" s="10" t="str">
        <x:v>Canvas Overshirt</x:v>
      </x:c>
      <x:c r="E25" s="10" t="str">
        <x:v>Navy</x:v>
      </x:c>
      <x:c r="F25" s="10" t="str">
        <x:v>XL</x:v>
      </x:c>
      <x:c r="G25" s="10" t="str">
        <x:v>HT-OVR-NVY-XL</x:v>
      </x:c>
      <x:c r="H25" s="10" t="n">
        <x:v>68</x:v>
      </x:c>
      <x:c r="I25" s="10" t="n">
        <x:v>5</x:v>
      </x:c>
      <x:c r="J25" s="10" t="str">
        <x:v>https://harbor-thread.example/overshirt-navy.jpg</x:v>
      </x:c>
      <x:c r="K25" s="10" t="str">
        <x:v>OVR</x:v>
      </x:c>
      <x:c r="L25" s="10" t="str">
        <x:v>Outerwear</x:v>
      </x:c>
      <x:c r="M25" s="10" t="str">
        <x:v>Outerwear</x:v>
      </x:c>
      <x:c r="N25" s="10" t="str">
        <x:f>IF(L25=M25,"PASS","MISMATCH")</x:f>
        <x:v>PASS</x:v>
      </x:c>
      <x:c r="O25" s="10" t="str">
        <x:f>IF(AND(B25="UPDATE",COUNTIF($G$2:$G$25,G25)=1,H25&gt;0,I25&gt;=0,LEFT(J25,8)="https://",N25="PASS"),"READY","HOLD")</x:f>
        <x:v>READY</x:v>
      </x:c>
      <x:c r="P25" s="10" t="str">
        <x:v>Prepared row matches approved merchandising logic.</x:v>
      </x:c>
      <x:c r="Q25" t="str">
        <x:v>Outerwear</x:v>
      </x:c>
      <x:c r="R25" t="str">
        <x:f>IF(Q25=L25,"PASS","REVIEW")</x:f>
        <x:v>PASS</x:v>
      </x:c>
    </x:row>
  </x:sheetData>
  <x:conditionalFormatting sqref="N2:N25">
    <x:cfRule type="expression" dxfId="1" priority="1">
      <x:formula>N2="MISMATCH"</x:formula>
    </x:cfRule>
  </x:conditionalFormatting>
  <x:conditionalFormatting sqref="O2:O25">
    <x:cfRule type="expression" dxfId="2" priority="2">
      <x:formula>O2="READY"</x:formula>
    </x:cfRule>
    <x:cfRule type="expression" dxfId="3" priority="3">
      <x:formula>O2="HOLD"</x:formula>
    </x:cfRule>
  </x:conditionalFormatting>
  <x:conditionalFormatting sqref="R2:R25">
    <x:cfRule type="expression" dxfId="5" priority="4">
      <x:formula>R2="PASS"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0a63ce98ddc433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14" hidden="0" customWidth="1"/>
    <x:col min="5" max="5" width="48" hidden="0" customWidth="1"/>
  </x:cols>
  <x:sheetData>
    <x:row r="1">
      <x:c r="A1" s="5" t="str">
        <x:v>ROW CORRECTION</x:v>
      </x:c>
      <x:c r="B1" s="5"/>
      <x:c r="C1" s="5"/>
      <x:c r="D1" s="5"/>
      <x:c r="E1" s="5"/>
    </x:row>
    <x:row r="2">
      <x:c r="A2" s="10" t="str">
        <x:v>Control</x:v>
      </x:c>
      <x:c r="B2" s="10" t="str">
        <x:v>Prepared</x:v>
      </x:c>
      <x:c r="C2" s="10" t="str">
        <x:v>Expected</x:v>
      </x:c>
      <x:c r="D2" s="10" t="str">
        <x:v>Decision</x:v>
      </x:c>
      <x:c r="E2" s="10" t="str">
        <x:v>Correction</x:v>
      </x:c>
    </x:row>
    <x:row r="3">
      <x:c r="A3" s="10" t="str">
        <x:v>Canvas Overshirt / Navy / L collection</x:v>
      </x:c>
      <x:c r="B3" s="10" t="str">
        <x:v>Tops</x:v>
      </x:c>
      <x:c r="C3" s="10" t="str">
        <x:v>Outerwear</x:v>
      </x:c>
      <x:c r="D3" s="10" t="str">
        <x:v>BLOCK</x:v>
      </x:c>
      <x:c r="E3" s="10" t="str">
        <x:v>Restore approved OVR → Outerwear mapping</x:v>
      </x:c>
    </x:row>
    <x:row r="4">
      <x:c r="A4" s="10"/>
      <x:c r="B4" s="10"/>
      <x:c r="C4" s="10"/>
      <x:c r="D4" s="10"/>
      <x:c r="E4" s="10"/>
    </x:row>
    <x:row r="5">
      <x:c r="A5" s="10" t="str">
        <x:v>FINAL RECONCILIATION SUMMARY</x:v>
      </x:c>
      <x:c r="B5" s="10"/>
      <x:c r="C5" s="10"/>
      <x:c r="D5" s="10"/>
      <x:c r="E5" s="10"/>
    </x:row>
    <x:row r="6">
      <x:c r="A6" s="10" t="str">
        <x:v>Control</x:v>
      </x:c>
      <x:c r="B6" s="10" t="str">
        <x:v>Expected</x:v>
      </x:c>
      <x:c r="C6" s="10" t="str">
        <x:v>Recovered / Final</x:v>
      </x:c>
      <x:c r="D6" s="10" t="str">
        <x:v>Result</x:v>
      </x:c>
      <x:c r="E6" s="10" t="str">
        <x:v>Why It Matters</x:v>
      </x:c>
    </x:row>
    <x:row r="7">
      <x:c r="A7" s="10" t="str">
        <x:v>Total variants</x:v>
      </x:c>
      <x:c r="B7" s="10" t="str">
        <x:v>24</x:v>
      </x:c>
      <x:c r="C7" s="10" t="n">
        <x:f>COUNTA('Bulk Update Validation'!G2:G25)</x:f>
        <x:v>24</x:v>
      </x:c>
      <x:c r="D7" s="10" t="str">
        <x:f>IF(B7=C7,"PASS","REVIEW")</x:f>
        <x:v>PASS</x:v>
      </x:c>
      <x:c r="E7" s="10" t="str">
        <x:v>Batch count stayed complete after correction.</x:v>
      </x:c>
    </x:row>
    <x:row r="8">
      <x:c r="A8" s="10" t="str">
        <x:v>Unique SKUs</x:v>
      </x:c>
      <x:c r="B8" s="10" t="str">
        <x:v>24</x:v>
      </x:c>
      <x:c r="C8" s="10" t="n">
        <x:f>COUNTIF('Variant Matrix'!O2:O25,"PASS")</x:f>
        <x:v>24</x:v>
      </x:c>
      <x:c r="D8" s="10" t="str">
        <x:f>IF(B8=C8,"PASS","REVIEW")</x:f>
        <x:v>PASS</x:v>
      </x:c>
      <x:c r="E8" s="10" t="str">
        <x:v>Every variant keeps a unique matching key.</x:v>
      </x:c>
    </x:row>
    <x:row r="9">
      <x:c r="A9" s="10" t="str">
        <x:v>Tops collection rows</x:v>
      </x:c>
      <x:c r="B9" s="10" t="str">
        <x:v>12</x:v>
      </x:c>
      <x:c r="C9" s="10" t="n">
        <x:f>COUNTIF('Bulk Update Validation'!Q2:Q25,"Tops")</x:f>
        <x:v>12</x:v>
      </x:c>
      <x:c r="D9" s="10" t="str">
        <x:f>IF(B9=C9,"PASS","REVIEW")</x:f>
        <x:v>PASS</x:v>
      </x:c>
      <x:c r="E9" s="10" t="str">
        <x:v>Everyday Cotton Tee variants map consistently.</x:v>
      </x:c>
    </x:row>
    <x:row r="10">
      <x:c r="A10" s="10" t="str">
        <x:v>Knitwear collection rows</x:v>
      </x:c>
      <x:c r="B10" s="10" t="str">
        <x:v>6</x:v>
      </x:c>
      <x:c r="C10" s="10" t="n">
        <x:f>COUNTIF('Bulk Update Validation'!Q2:Q25,"Knitwear")</x:f>
        <x:v>6</x:v>
      </x:c>
      <x:c r="D10" s="10" t="str">
        <x:f>IF(B10=C10,"PASS","REVIEW")</x:f>
        <x:v>PASS</x:v>
      </x:c>
      <x:c r="E10" s="10" t="str">
        <x:v>Sweater variants map consistently.</x:v>
      </x:c>
    </x:row>
    <x:row r="11">
      <x:c r="A11" s="10" t="str">
        <x:v>Outerwear collection rows</x:v>
      </x:c>
      <x:c r="B11" s="10" t="str">
        <x:v>6</x:v>
      </x:c>
      <x:c r="C11" s="10" t="n">
        <x:f>COUNTIF('Bulk Update Validation'!Q2:Q25,"Outerwear")</x:f>
        <x:v>6</x:v>
      </x:c>
      <x:c r="D11" s="10" t="str">
        <x:f>IF(B11=C11,"PASS","REVIEW")</x:f>
        <x:v>PASS</x:v>
      </x:c>
      <x:c r="E11" s="10" t="str">
        <x:v>Overshirt variants map consistently after recovery.</x:v>
      </x:c>
    </x:row>
    <x:row r="12">
      <x:c r="A12" s="10" t="str">
        <x:v>Color filter coverage</x:v>
      </x:c>
      <x:c r="B12" s="10" t="str">
        <x:v>24/24</x:v>
      </x:c>
      <x:c r="C12" s="10" t="str">
        <x:f>COUNTA('Bulk Update Validation'!E2:E25)&amp;"/24"</x:f>
        <x:v>24/24</x:v>
      </x:c>
      <x:c r="D12" s="10" t="str">
        <x:f>IF(B12=C12,"PASS","REVIEW")</x:f>
        <x:v>PASS</x:v>
      </x:c>
      <x:c r="E12" s="10" t="str">
        <x:v>Every variant has a normalized color value.</x:v>
      </x:c>
    </x:row>
    <x:row r="13">
      <x:c r="A13" s="10" t="str">
        <x:v>Size filter coverage</x:v>
      </x:c>
      <x:c r="B13" s="10" t="str">
        <x:v>24/24</x:v>
      </x:c>
      <x:c r="C13" s="10" t="str">
        <x:f>COUNTA('Bulk Update Validation'!F2:F25)&amp;"/24"</x:f>
        <x:v>24/24</x:v>
      </x:c>
      <x:c r="D13" s="10" t="str">
        <x:f>IF(B13=C13,"PASS","REVIEW")</x:f>
        <x:v>PASS</x:v>
      </x:c>
      <x:c r="E13" s="10" t="str">
        <x:v>Every variant has a normalized size value.</x:v>
      </x:c>
    </x:row>
    <x:row r="14">
      <x:c r="A14" s="10" t="str">
        <x:v>Material filter coverage</x:v>
      </x:c>
      <x:c r="B14" s="10" t="str">
        <x:v>24/24</x:v>
      </x:c>
      <x:c r="C14" s="10" t="str">
        <x:f>COUNTA('Variant Matrix'!N2:N25)&amp;"/24"</x:f>
        <x:v>24/24</x:v>
      </x:c>
      <x:c r="D14" s="10" t="str">
        <x:f>IF(B14=C14,"PASS","REVIEW")</x:f>
        <x:v>PASS</x:v>
      </x:c>
      <x:c r="E14" s="10" t="str">
        <x:v>Every variant has a material value.</x:v>
      </x:c>
    </x:row>
    <x:row r="15">
      <x:c r="A15" s="10" t="str">
        <x:v>Variant image coverage</x:v>
      </x:c>
      <x:c r="B15" s="10" t="str">
        <x:v>24/24</x:v>
      </x:c>
      <x:c r="C15" s="10" t="str">
        <x:f>COUNTIF('Variant Matrix'!Q2:Q25,"PASS")&amp;"/24"</x:f>
        <x:v>24/24</x:v>
      </x:c>
      <x:c r="D15" s="10" t="str">
        <x:f>IF(B15=C15,"PASS","REVIEW")</x:f>
        <x:v>PASS</x:v>
      </x:c>
      <x:c r="E15" s="10" t="str">
        <x:v>Each prepared variant has an HTTPS image URL.</x:v>
      </x:c>
    </x:row>
    <x:row r="16">
      <x:c r="A16" s="10" t="str">
        <x:v>Non-negative inventory</x:v>
      </x:c>
      <x:c r="B16" s="10" t="str">
        <x:v>24/24</x:v>
      </x:c>
      <x:c r="C16" s="10" t="str">
        <x:f>COUNTIF('Variant Matrix'!P2:P25,"PASS")&amp;"/24"</x:f>
        <x:v>24/24</x:v>
      </x:c>
      <x:c r="D16" s="10" t="str">
        <x:f>IF(B16=C16,"PASS","REVIEW")</x:f>
        <x:v>PASS</x:v>
      </x:c>
      <x:c r="E16" s="10" t="str">
        <x:v>No negative inventory remains in the prepared batch.</x:v>
      </x:c>
    </x:row>
  </x:sheetData>
  <x:conditionalFormatting sqref="D2:D16">
    <x:cfRule type="expression" dxfId="4" priority="1">
      <x:formula>D2="PASS"</x:formula>
    </x:cfRule>
  </x:conditionalFormatting>
  <x:conditionalFormatting sqref="D7:D16">
    <x:cfRule type="expression" dxfId="6" priority="2">
      <x:formula>D7="PASS"</x:formula>
    </x:cfRule>
  </x:conditionalFormatting>
  <x:pageMargins left="0.7" right="0.7" top="0.75" bottom="0.75" header="0.3" footer="0.3"/>
</x:worksheet>
</file>